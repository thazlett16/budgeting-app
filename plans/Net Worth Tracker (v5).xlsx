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lana\Downloads\"/>
    </mc:Choice>
  </mc:AlternateContent>
  <xr:revisionPtr revIDLastSave="0" documentId="13_ncr:1_{099BD491-F14B-4ABE-A71E-9EEDCD005EA0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Net Worth Tracker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3" i="1" l="1"/>
  <c r="AA66" i="1" s="1"/>
  <c r="Z63" i="1"/>
  <c r="Y63" i="1"/>
  <c r="Y66" i="1" s="1"/>
  <c r="X63" i="1"/>
  <c r="W63" i="1"/>
  <c r="W66" i="1" s="1"/>
  <c r="V63" i="1"/>
  <c r="V66" i="1" s="1"/>
  <c r="U63" i="1"/>
  <c r="U66" i="1" s="1"/>
  <c r="T63" i="1"/>
  <c r="T66" i="1" s="1"/>
  <c r="S63" i="1"/>
  <c r="S66" i="1" s="1"/>
  <c r="R63" i="1"/>
  <c r="Q63" i="1"/>
  <c r="Q66" i="1" s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Z66" i="1"/>
  <c r="X66" i="1"/>
  <c r="R66" i="1"/>
  <c r="P6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P65" i="1" l="1"/>
  <c r="P67" i="1" s="1"/>
  <c r="A38" i="1"/>
  <c r="A39" i="1" s="1"/>
  <c r="A40" i="1" s="1"/>
  <c r="A41" i="1" s="1"/>
  <c r="A42" i="1" s="1"/>
  <c r="A43" i="1" s="1"/>
  <c r="A44" i="1" s="1"/>
  <c r="A45" i="1" s="1"/>
  <c r="A46" i="1" s="1"/>
  <c r="Q65" i="1" l="1"/>
  <c r="Q67" i="1" s="1"/>
  <c r="O66" i="1"/>
  <c r="N66" i="1"/>
  <c r="M66" i="1"/>
  <c r="L66" i="1"/>
  <c r="K66" i="1"/>
  <c r="J66" i="1"/>
  <c r="I66" i="1"/>
  <c r="H66" i="1"/>
  <c r="G66" i="1"/>
  <c r="F66" i="1"/>
  <c r="E66" i="1"/>
  <c r="D66" i="1"/>
  <c r="A53" i="1"/>
  <c r="A54" i="1" s="1"/>
  <c r="A55" i="1" s="1"/>
  <c r="A56" i="1" s="1"/>
  <c r="A57" i="1" s="1"/>
  <c r="A58" i="1" s="1"/>
  <c r="A59" i="1" s="1"/>
  <c r="A60" i="1" s="1"/>
  <c r="A61" i="1" s="1"/>
  <c r="A23" i="1"/>
  <c r="A24" i="1" s="1"/>
  <c r="A25" i="1" s="1"/>
  <c r="A26" i="1" s="1"/>
  <c r="A27" i="1" s="1"/>
  <c r="A28" i="1" s="1"/>
  <c r="A29" i="1" s="1"/>
  <c r="A30" i="1" s="1"/>
  <c r="A31" i="1" s="1"/>
  <c r="A8" i="1"/>
  <c r="A9" i="1" s="1"/>
  <c r="A10" i="1" s="1"/>
  <c r="A11" i="1" s="1"/>
  <c r="A12" i="1" s="1"/>
  <c r="A13" i="1" s="1"/>
  <c r="A14" i="1" s="1"/>
  <c r="A15" i="1" s="1"/>
  <c r="A16" i="1" s="1"/>
  <c r="Q68" i="1" l="1"/>
  <c r="J65" i="1"/>
  <c r="J67" i="1" s="1"/>
  <c r="K65" i="1"/>
  <c r="K67" i="1" s="1"/>
  <c r="L65" i="1"/>
  <c r="L67" i="1" s="1"/>
  <c r="E65" i="1"/>
  <c r="E67" i="1" s="1"/>
  <c r="Q69" i="1" s="1"/>
  <c r="M65" i="1"/>
  <c r="M67" i="1" s="1"/>
  <c r="F65" i="1"/>
  <c r="F67" i="1" s="1"/>
  <c r="O65" i="1"/>
  <c r="O67" i="1" s="1"/>
  <c r="N65" i="1"/>
  <c r="N67" i="1" s="1"/>
  <c r="H65" i="1"/>
  <c r="H67" i="1" s="1"/>
  <c r="G65" i="1"/>
  <c r="G67" i="1" s="1"/>
  <c r="I65" i="1"/>
  <c r="I67" i="1" s="1"/>
  <c r="D65" i="1"/>
  <c r="D67" i="1" s="1"/>
  <c r="P69" i="1" s="1"/>
  <c r="R65" i="1"/>
  <c r="R67" i="1" s="1"/>
  <c r="F68" i="1" l="1"/>
  <c r="K68" i="1"/>
  <c r="H68" i="1"/>
  <c r="L68" i="1"/>
  <c r="N68" i="1"/>
  <c r="R69" i="1"/>
  <c r="R68" i="1"/>
  <c r="M68" i="1"/>
  <c r="I68" i="1"/>
  <c r="O68" i="1"/>
  <c r="P68" i="1"/>
  <c r="G68" i="1"/>
  <c r="E68" i="1"/>
  <c r="J68" i="1"/>
  <c r="S65" i="1"/>
  <c r="S67" i="1" s="1"/>
  <c r="S69" i="1" l="1"/>
  <c r="S68" i="1"/>
  <c r="T65" i="1"/>
  <c r="T67" i="1" s="1"/>
  <c r="T68" i="1" l="1"/>
  <c r="T69" i="1"/>
  <c r="U65" i="1"/>
  <c r="U67" i="1" s="1"/>
  <c r="U68" i="1" l="1"/>
  <c r="U69" i="1"/>
  <c r="V65" i="1"/>
  <c r="V67" i="1" s="1"/>
  <c r="V68" i="1" l="1"/>
  <c r="V69" i="1"/>
  <c r="W65" i="1"/>
  <c r="W67" i="1" s="1"/>
  <c r="W68" i="1" l="1"/>
  <c r="W69" i="1"/>
  <c r="X65" i="1"/>
  <c r="X67" i="1" s="1"/>
  <c r="X69" i="1" l="1"/>
  <c r="X68" i="1"/>
  <c r="Y65" i="1"/>
  <c r="Y67" i="1" s="1"/>
  <c r="Y69" i="1" l="1"/>
  <c r="Y68" i="1"/>
  <c r="AA65" i="1"/>
  <c r="AA67" i="1" s="1"/>
  <c r="Z65" i="1"/>
  <c r="Z67" i="1" s="1"/>
  <c r="Z69" i="1" l="1"/>
  <c r="Z68" i="1"/>
  <c r="AA69" i="1"/>
  <c r="AA68" i="1"/>
</calcChain>
</file>

<file path=xl/sharedStrings.xml><?xml version="1.0" encoding="utf-8"?>
<sst xmlns="http://schemas.openxmlformats.org/spreadsheetml/2006/main" count="29" uniqueCount="29">
  <si>
    <t>Bank Accounts</t>
  </si>
  <si>
    <t>Checking, savings, etc.</t>
  </si>
  <si>
    <t>Investment Accounts</t>
  </si>
  <si>
    <t>Taxable / non-taxable accounts, employer savings accounts, etc.</t>
  </si>
  <si>
    <t>Debt</t>
  </si>
  <si>
    <t>Subtotal - bank accounts</t>
  </si>
  <si>
    <t>Subtotal - investment accounts</t>
  </si>
  <si>
    <t>Subtotal - debt</t>
  </si>
  <si>
    <t>Institution</t>
  </si>
  <si>
    <t>Name / Type</t>
  </si>
  <si>
    <t>Other Assets</t>
  </si>
  <si>
    <t>Home value, car, other valuable possessions</t>
  </si>
  <si>
    <t>Subtotal - other assets</t>
  </si>
  <si>
    <t>Notes:</t>
  </si>
  <si>
    <t>• Feel free to adjust the dates in row 3 as needed</t>
  </si>
  <si>
    <t>Total Assets</t>
  </si>
  <si>
    <t>Total Debt</t>
  </si>
  <si>
    <t>Net Worth</t>
  </si>
  <si>
    <t>• When entering in debts, input them as negative values (i.e., with a minus sign in front of the number, for example "-100")</t>
  </si>
  <si>
    <t>Amount ($)</t>
  </si>
  <si>
    <t>Year-over-year change - $</t>
  </si>
  <si>
    <t>Month-over-month change - $</t>
  </si>
  <si>
    <t>You can change the starting date in cell D3</t>
  </si>
  <si>
    <t>• You can add more than 5 types of bank accounts / assets / debts easily by clicking the "+" buttons on the left side of the spreadsheet -- there are additional rows that can be expanded</t>
  </si>
  <si>
    <r>
      <t>Credit cards, student loans, mortgages, lines of credit, car loans, etc. (</t>
    </r>
    <r>
      <rPr>
        <b/>
        <i/>
        <u/>
        <sz val="9"/>
        <color theme="1"/>
        <rFont val="Arial"/>
        <family val="2"/>
      </rPr>
      <t>enter $ amounts as negative values</t>
    </r>
    <r>
      <rPr>
        <i/>
        <sz val="9"/>
        <color theme="1"/>
        <rFont val="Arial"/>
        <family val="2"/>
      </rPr>
      <t>)</t>
    </r>
  </si>
  <si>
    <t>[Credit card]</t>
  </si>
  <si>
    <t>[Retirement account]</t>
  </si>
  <si>
    <t>[Checking account]</t>
  </si>
  <si>
    <t>[Savings account]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</si>
</sst>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\(&quot;$&quot;#,##0\);\-\-_)"/>
    <numFmt numFmtId="165" formatCode="mmm\-dd\-yyyy"/>
    <numFmt numFmtId="166" formatCode="\+&quot;$&quot;#,##0_);\(&quot;$&quot;#,##0\);\-\-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9"/>
      <color theme="1"/>
      <name val="Arial"/>
      <family val="2"/>
    </font>
    <font>
      <sz val="10"/>
      <color rgb="FF0000FF"/>
      <name val="Arial"/>
      <family val="2"/>
    </font>
    <font>
      <i/>
      <sz val="10"/>
      <color theme="0" tint="-0.249977111117893"/>
      <name val="Arial"/>
      <family val="2"/>
    </font>
    <font>
      <i/>
      <sz val="10"/>
      <color theme="1" tint="0.249977111117893"/>
      <name val="Arial"/>
      <family val="2"/>
    </font>
    <font>
      <i/>
      <sz val="10"/>
      <color rgb="FF7030A0"/>
      <name val="Arial"/>
      <family val="2"/>
    </font>
    <font>
      <b/>
      <sz val="10"/>
      <color rgb="FF0000FF"/>
      <name val="Arial"/>
      <family val="2"/>
    </font>
    <font>
      <i/>
      <sz val="11"/>
      <color theme="1" tint="0.24997711111789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u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rgb="FFC9C9C9"/>
      </bottom>
      <diagonal/>
    </border>
    <border>
      <left/>
      <right/>
      <top/>
      <bottom style="thin">
        <color rgb="FFC9C9C9"/>
      </bottom>
      <diagonal/>
    </border>
    <border>
      <left style="thin">
        <color theme="1" tint="0.249977111117893"/>
      </left>
      <right/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rgb="FFC9C9C9"/>
      </top>
      <bottom style="thin">
        <color rgb="FFC9C9C9"/>
      </bottom>
      <diagonal/>
    </border>
    <border>
      <left style="thin">
        <color indexed="64"/>
      </left>
      <right/>
      <top/>
      <bottom style="thin">
        <color rgb="FFC9C9C9"/>
      </bottom>
      <diagonal/>
    </border>
    <border>
      <left style="thin">
        <color indexed="64"/>
      </left>
      <right/>
      <top style="thin">
        <color indexed="64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C9C9C9"/>
      </top>
      <bottom style="thin">
        <color indexed="64"/>
      </bottom>
      <diagonal/>
    </border>
    <border>
      <left style="thin">
        <color indexed="64"/>
      </left>
      <right/>
      <top style="thin">
        <color rgb="FFC9C9C9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horizontal="right" vertical="center"/>
    </xf>
    <xf numFmtId="0" fontId="1" fillId="0" borderId="13" xfId="0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164" fontId="5" fillId="0" borderId="13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16" xfId="0" applyNumberFormat="1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5" fillId="0" borderId="17" xfId="0" applyNumberFormat="1" applyFont="1" applyBorder="1" applyAlignment="1">
      <alignment vertical="center"/>
    </xf>
    <xf numFmtId="164" fontId="5" fillId="0" borderId="10" xfId="0" applyNumberFormat="1" applyFont="1" applyBorder="1" applyAlignment="1">
      <alignment vertical="center"/>
    </xf>
    <xf numFmtId="165" fontId="2" fillId="2" borderId="0" xfId="0" applyNumberFormat="1" applyFont="1" applyFill="1" applyAlignment="1">
      <alignment horizontal="right" vertical="center"/>
    </xf>
    <xf numFmtId="0" fontId="1" fillId="6" borderId="3" xfId="0" applyFont="1" applyFill="1" applyBorder="1" applyAlignment="1">
      <alignment vertical="center"/>
    </xf>
    <xf numFmtId="0" fontId="1" fillId="6" borderId="14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9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164" fontId="11" fillId="0" borderId="18" xfId="0" applyNumberFormat="1" applyFont="1" applyBorder="1" applyAlignment="1">
      <alignment vertical="center"/>
    </xf>
    <xf numFmtId="164" fontId="11" fillId="0" borderId="8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3" borderId="4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  <xf numFmtId="164" fontId="12" fillId="0" borderId="13" xfId="0" applyNumberFormat="1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0" fontId="12" fillId="0" borderId="20" xfId="0" applyFont="1" applyBorder="1" applyAlignment="1">
      <alignment vertical="center"/>
    </xf>
    <xf numFmtId="164" fontId="12" fillId="0" borderId="21" xfId="0" applyNumberFormat="1" applyFont="1" applyBorder="1" applyAlignment="1">
      <alignment vertical="center"/>
    </xf>
    <xf numFmtId="164" fontId="12" fillId="0" borderId="20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4" fontId="11" fillId="0" borderId="19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9E7"/>
      <color rgb="FFFFFDF7"/>
      <color rgb="FFEE5858"/>
      <color rgb="FF0000FF"/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CA" sz="1800" b="1"/>
              <a:t>Net</a:t>
            </a:r>
            <a:r>
              <a:rPr lang="en-CA" sz="1800" b="1" baseline="0"/>
              <a:t> Worth Over Time</a:t>
            </a:r>
            <a:endParaRPr lang="en-CA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Assets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'Net Worth Tracker'!$D$3:$AA$3</c:f>
              <c:numCache>
                <c:formatCode>mmm\-dd\-yyyy</c:formatCode>
                <c:ptCount val="24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  <c:pt idx="11">
                  <c:v>45991</c:v>
                </c:pt>
                <c:pt idx="12">
                  <c:v>46022</c:v>
                </c:pt>
                <c:pt idx="13">
                  <c:v>46053</c:v>
                </c:pt>
                <c:pt idx="14">
                  <c:v>46081</c:v>
                </c:pt>
                <c:pt idx="15">
                  <c:v>46112</c:v>
                </c:pt>
                <c:pt idx="16">
                  <c:v>46142</c:v>
                </c:pt>
                <c:pt idx="17">
                  <c:v>46173</c:v>
                </c:pt>
                <c:pt idx="18">
                  <c:v>46203</c:v>
                </c:pt>
                <c:pt idx="19">
                  <c:v>46234</c:v>
                </c:pt>
                <c:pt idx="20">
                  <c:v>46265</c:v>
                </c:pt>
                <c:pt idx="21">
                  <c:v>46295</c:v>
                </c:pt>
                <c:pt idx="22">
                  <c:v>46326</c:v>
                </c:pt>
                <c:pt idx="23">
                  <c:v>46356</c:v>
                </c:pt>
              </c:numCache>
            </c:numRef>
          </c:cat>
          <c:val>
            <c:numRef>
              <c:f>'Net Worth Tracker'!$D$65:$AA$65</c:f>
              <c:numCache>
                <c:formatCode>"$"#,##0_);\("$"#,##0\);\-\-_)</c:formatCode>
                <c:ptCount val="24"/>
                <c:pt idx="0">
                  <c:v>900</c:v>
                </c:pt>
                <c:pt idx="1">
                  <c:v>1200</c:v>
                </c:pt>
                <c:pt idx="2">
                  <c:v>1400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B-4CC0-844B-ABA1ECC2B970}"/>
            </c:ext>
          </c:extLst>
        </c:ser>
        <c:ser>
          <c:idx val="1"/>
          <c:order val="1"/>
          <c:tx>
            <c:v>Debt</c:v>
          </c:tx>
          <c:spPr>
            <a:ln w="28575" cap="rnd">
              <a:solidFill>
                <a:srgbClr val="EE585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EE5858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'Net Worth Tracker'!$D$3:$AA$3</c:f>
              <c:numCache>
                <c:formatCode>mmm\-dd\-yyyy</c:formatCode>
                <c:ptCount val="24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  <c:pt idx="11">
                  <c:v>45991</c:v>
                </c:pt>
                <c:pt idx="12">
                  <c:v>46022</c:v>
                </c:pt>
                <c:pt idx="13">
                  <c:v>46053</c:v>
                </c:pt>
                <c:pt idx="14">
                  <c:v>46081</c:v>
                </c:pt>
                <c:pt idx="15">
                  <c:v>46112</c:v>
                </c:pt>
                <c:pt idx="16">
                  <c:v>46142</c:v>
                </c:pt>
                <c:pt idx="17">
                  <c:v>46173</c:v>
                </c:pt>
                <c:pt idx="18">
                  <c:v>46203</c:v>
                </c:pt>
                <c:pt idx="19">
                  <c:v>46234</c:v>
                </c:pt>
                <c:pt idx="20">
                  <c:v>46265</c:v>
                </c:pt>
                <c:pt idx="21">
                  <c:v>46295</c:v>
                </c:pt>
                <c:pt idx="22">
                  <c:v>46326</c:v>
                </c:pt>
                <c:pt idx="23">
                  <c:v>46356</c:v>
                </c:pt>
              </c:numCache>
            </c:numRef>
          </c:cat>
          <c:val>
            <c:numRef>
              <c:f>'Net Worth Tracker'!$D$66:$AA$66</c:f>
              <c:numCache>
                <c:formatCode>"$"#,##0_);\("$"#,##0\);\-\-_)</c:formatCode>
                <c:ptCount val="24"/>
                <c:pt idx="0">
                  <c:v>-100</c:v>
                </c:pt>
                <c:pt idx="1">
                  <c:v>-125</c:v>
                </c:pt>
                <c:pt idx="2">
                  <c:v>-110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B-4CC0-844B-ABA1ECC2B970}"/>
            </c:ext>
          </c:extLst>
        </c:ser>
        <c:ser>
          <c:idx val="2"/>
          <c:order val="2"/>
          <c:tx>
            <c:v>Net Worth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F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'Net Worth Tracker'!$D$3:$AA$3</c:f>
              <c:numCache>
                <c:formatCode>mmm\-dd\-yyyy</c:formatCode>
                <c:ptCount val="24"/>
                <c:pt idx="0">
                  <c:v>45657</c:v>
                </c:pt>
                <c:pt idx="1">
                  <c:v>45688</c:v>
                </c:pt>
                <c:pt idx="2">
                  <c:v>45716</c:v>
                </c:pt>
                <c:pt idx="3">
                  <c:v>45747</c:v>
                </c:pt>
                <c:pt idx="4">
                  <c:v>45777</c:v>
                </c:pt>
                <c:pt idx="5">
                  <c:v>45808</c:v>
                </c:pt>
                <c:pt idx="6">
                  <c:v>45838</c:v>
                </c:pt>
                <c:pt idx="7">
                  <c:v>45869</c:v>
                </c:pt>
                <c:pt idx="8">
                  <c:v>45900</c:v>
                </c:pt>
                <c:pt idx="9">
                  <c:v>45930</c:v>
                </c:pt>
                <c:pt idx="10">
                  <c:v>45961</c:v>
                </c:pt>
                <c:pt idx="11">
                  <c:v>45991</c:v>
                </c:pt>
                <c:pt idx="12">
                  <c:v>46022</c:v>
                </c:pt>
                <c:pt idx="13">
                  <c:v>46053</c:v>
                </c:pt>
                <c:pt idx="14">
                  <c:v>46081</c:v>
                </c:pt>
                <c:pt idx="15">
                  <c:v>46112</c:v>
                </c:pt>
                <c:pt idx="16">
                  <c:v>46142</c:v>
                </c:pt>
                <c:pt idx="17">
                  <c:v>46173</c:v>
                </c:pt>
                <c:pt idx="18">
                  <c:v>46203</c:v>
                </c:pt>
                <c:pt idx="19">
                  <c:v>46234</c:v>
                </c:pt>
                <c:pt idx="20">
                  <c:v>46265</c:v>
                </c:pt>
                <c:pt idx="21">
                  <c:v>46295</c:v>
                </c:pt>
                <c:pt idx="22">
                  <c:v>46326</c:v>
                </c:pt>
                <c:pt idx="23">
                  <c:v>46356</c:v>
                </c:pt>
              </c:numCache>
            </c:numRef>
          </c:cat>
          <c:val>
            <c:numRef>
              <c:f>'Net Worth Tracker'!$D$67:$AA$67</c:f>
              <c:numCache>
                <c:formatCode>"$"#,##0_);\("$"#,##0\);\-\-_)</c:formatCode>
                <c:ptCount val="24"/>
                <c:pt idx="0">
                  <c:v>800</c:v>
                </c:pt>
                <c:pt idx="1">
                  <c:v>1075</c:v>
                </c:pt>
                <c:pt idx="2">
                  <c:v>1290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0B-4CC0-844B-ABA1ECC2B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53232"/>
        <c:axId val="412951592"/>
      </c:lineChart>
      <c:dateAx>
        <c:axId val="412953232"/>
        <c:scaling>
          <c:orientation val="minMax"/>
        </c:scaling>
        <c:delete val="0"/>
        <c:axPos val="b"/>
        <c:numFmt formatCode="mmm\-yyyy" sourceLinked="0"/>
        <c:majorTickMark val="cross"/>
        <c:minorTickMark val="none"/>
        <c:tickLblPos val="low"/>
        <c:spPr>
          <a:noFill/>
          <a:ln w="190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951592"/>
        <c:crosses val="autoZero"/>
        <c:auto val="0"/>
        <c:lblOffset val="100"/>
        <c:baseTimeUnit val="months"/>
      </c:dateAx>
      <c:valAx>
        <c:axId val="41295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;&quot;$&quot;0_)" sourceLinked="0"/>
        <c:majorTickMark val="none"/>
        <c:minorTickMark val="none"/>
        <c:tickLblPos val="nextTo"/>
        <c:spPr>
          <a:noFill/>
          <a:ln w="1905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95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9E7"/>
    </a:solidFill>
    <a:ln w="2857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75</xdr:row>
      <xdr:rowOff>76199</xdr:rowOff>
    </xdr:from>
    <xdr:to>
      <xdr:col>15</xdr:col>
      <xdr:colOff>49804</xdr:colOff>
      <xdr:row>110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74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11.703125" defaultRowHeight="12.7" outlineLevelRow="1" x14ac:dyDescent="0.5"/>
  <cols>
    <col min="1" max="1" width="5.703125" style="1" customWidth="1"/>
    <col min="2" max="3" width="20.703125" style="2" customWidth="1"/>
    <col min="4" max="16384" width="11.703125" style="2"/>
  </cols>
  <sheetData>
    <row r="1" spans="1:27" x14ac:dyDescent="0.5">
      <c r="B1" s="45" t="s">
        <v>22</v>
      </c>
      <c r="D1" s="42">
        <v>1</v>
      </c>
      <c r="E1" s="42">
        <f>D1+1</f>
        <v>2</v>
      </c>
      <c r="F1" s="42">
        <f t="shared" ref="F1:O1" si="0">E1+1</f>
        <v>3</v>
      </c>
      <c r="G1" s="42">
        <f t="shared" si="0"/>
        <v>4</v>
      </c>
      <c r="H1" s="42">
        <f t="shared" si="0"/>
        <v>5</v>
      </c>
      <c r="I1" s="42">
        <f t="shared" si="0"/>
        <v>6</v>
      </c>
      <c r="J1" s="42">
        <f t="shared" si="0"/>
        <v>7</v>
      </c>
      <c r="K1" s="42">
        <f t="shared" si="0"/>
        <v>8</v>
      </c>
      <c r="L1" s="42">
        <f t="shared" si="0"/>
        <v>9</v>
      </c>
      <c r="M1" s="42">
        <f t="shared" si="0"/>
        <v>10</v>
      </c>
      <c r="N1" s="42">
        <f t="shared" si="0"/>
        <v>11</v>
      </c>
      <c r="O1" s="42">
        <f t="shared" si="0"/>
        <v>12</v>
      </c>
      <c r="P1" s="42">
        <f t="shared" ref="P1:AA1" si="1">O1+1</f>
        <v>13</v>
      </c>
      <c r="Q1" s="42">
        <f t="shared" si="1"/>
        <v>14</v>
      </c>
      <c r="R1" s="42">
        <f t="shared" si="1"/>
        <v>15</v>
      </c>
      <c r="S1" s="42">
        <f t="shared" si="1"/>
        <v>16</v>
      </c>
      <c r="T1" s="42">
        <f t="shared" si="1"/>
        <v>17</v>
      </c>
      <c r="U1" s="42">
        <f t="shared" si="1"/>
        <v>18</v>
      </c>
      <c r="V1" s="42">
        <f t="shared" si="1"/>
        <v>19</v>
      </c>
      <c r="W1" s="42">
        <f t="shared" si="1"/>
        <v>20</v>
      </c>
      <c r="X1" s="42">
        <f t="shared" si="1"/>
        <v>21</v>
      </c>
      <c r="Y1" s="42">
        <f t="shared" si="1"/>
        <v>22</v>
      </c>
      <c r="Z1" s="42">
        <f t="shared" si="1"/>
        <v>23</v>
      </c>
      <c r="AA1" s="42">
        <f t="shared" si="1"/>
        <v>24</v>
      </c>
    </row>
    <row r="2" spans="1:27" x14ac:dyDescent="0.5">
      <c r="A2" s="43"/>
      <c r="B2" s="3"/>
      <c r="C2" s="3"/>
      <c r="D2" s="10" t="s">
        <v>19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5">
      <c r="A3" s="43"/>
      <c r="B3" s="3" t="s">
        <v>8</v>
      </c>
      <c r="C3" s="41" t="s">
        <v>9</v>
      </c>
      <c r="D3" s="46">
        <v>45657</v>
      </c>
      <c r="E3" s="35">
        <f>EOMONTH(D3,1)</f>
        <v>45688</v>
      </c>
      <c r="F3" s="35">
        <f t="shared" ref="F3:AA3" si="2">EOMONTH(E3,1)</f>
        <v>45716</v>
      </c>
      <c r="G3" s="35">
        <f t="shared" si="2"/>
        <v>45747</v>
      </c>
      <c r="H3" s="35">
        <f t="shared" si="2"/>
        <v>45777</v>
      </c>
      <c r="I3" s="35">
        <f t="shared" si="2"/>
        <v>45808</v>
      </c>
      <c r="J3" s="35">
        <f t="shared" si="2"/>
        <v>45838</v>
      </c>
      <c r="K3" s="35">
        <f t="shared" si="2"/>
        <v>45869</v>
      </c>
      <c r="L3" s="35">
        <f t="shared" si="2"/>
        <v>45900</v>
      </c>
      <c r="M3" s="35">
        <f t="shared" si="2"/>
        <v>45930</v>
      </c>
      <c r="N3" s="35">
        <f t="shared" si="2"/>
        <v>45961</v>
      </c>
      <c r="O3" s="35">
        <f t="shared" si="2"/>
        <v>45991</v>
      </c>
      <c r="P3" s="35">
        <f t="shared" si="2"/>
        <v>46022</v>
      </c>
      <c r="Q3" s="35">
        <f t="shared" si="2"/>
        <v>46053</v>
      </c>
      <c r="R3" s="35">
        <f t="shared" si="2"/>
        <v>46081</v>
      </c>
      <c r="S3" s="35">
        <f t="shared" si="2"/>
        <v>46112</v>
      </c>
      <c r="T3" s="35">
        <f t="shared" si="2"/>
        <v>46142</v>
      </c>
      <c r="U3" s="35">
        <f t="shared" si="2"/>
        <v>46173</v>
      </c>
      <c r="V3" s="35">
        <f t="shared" si="2"/>
        <v>46203</v>
      </c>
      <c r="W3" s="35">
        <f t="shared" si="2"/>
        <v>46234</v>
      </c>
      <c r="X3" s="35">
        <f t="shared" si="2"/>
        <v>46265</v>
      </c>
      <c r="Y3" s="35">
        <f t="shared" si="2"/>
        <v>46295</v>
      </c>
      <c r="Z3" s="35">
        <f t="shared" si="2"/>
        <v>46326</v>
      </c>
      <c r="AA3" s="35">
        <f t="shared" si="2"/>
        <v>46356</v>
      </c>
    </row>
    <row r="4" spans="1:27" ht="8.1" customHeight="1" x14ac:dyDescent="0.5">
      <c r="A4" s="43"/>
      <c r="D4" s="11"/>
    </row>
    <row r="5" spans="1:27" ht="13.7" x14ac:dyDescent="0.5">
      <c r="A5" s="43"/>
      <c r="B5" s="53" t="s">
        <v>0</v>
      </c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5">
      <c r="A6" s="43"/>
      <c r="B6" s="15" t="s">
        <v>1</v>
      </c>
      <c r="C6" s="16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5">
      <c r="A7" s="43">
        <v>1</v>
      </c>
      <c r="B7" s="4"/>
      <c r="C7" s="2" t="s">
        <v>27</v>
      </c>
      <c r="D7" s="29">
        <v>200</v>
      </c>
      <c r="E7" s="30">
        <v>300</v>
      </c>
      <c r="F7" s="30">
        <v>400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x14ac:dyDescent="0.5">
      <c r="A8" s="43">
        <f>A7+1</f>
        <v>2</v>
      </c>
      <c r="B8" s="8"/>
      <c r="C8" s="9" t="s">
        <v>28</v>
      </c>
      <c r="D8" s="31">
        <v>100</v>
      </c>
      <c r="E8" s="32">
        <v>200</v>
      </c>
      <c r="F8" s="32">
        <v>200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x14ac:dyDescent="0.5">
      <c r="A9" s="43">
        <f t="shared" ref="A9:A16" si="3">A8+1</f>
        <v>3</v>
      </c>
      <c r="B9" s="6"/>
      <c r="C9" s="7"/>
      <c r="D9" s="33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x14ac:dyDescent="0.5">
      <c r="A10" s="43">
        <f t="shared" si="3"/>
        <v>4</v>
      </c>
      <c r="B10" s="6"/>
      <c r="C10" s="7"/>
      <c r="D10" s="33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x14ac:dyDescent="0.5">
      <c r="A11" s="43">
        <f t="shared" si="3"/>
        <v>5</v>
      </c>
      <c r="B11" s="6"/>
      <c r="C11" s="7"/>
      <c r="D11" s="33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hidden="1" outlineLevel="1" x14ac:dyDescent="0.5">
      <c r="A12" s="43">
        <f t="shared" si="3"/>
        <v>6</v>
      </c>
      <c r="B12" s="6"/>
      <c r="C12" s="7"/>
      <c r="D12" s="33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idden="1" outlineLevel="1" x14ac:dyDescent="0.5">
      <c r="A13" s="43">
        <f t="shared" si="3"/>
        <v>7</v>
      </c>
      <c r="B13" s="6"/>
      <c r="C13" s="7"/>
      <c r="D13" s="33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idden="1" outlineLevel="1" x14ac:dyDescent="0.5">
      <c r="A14" s="43">
        <f t="shared" si="3"/>
        <v>8</v>
      </c>
      <c r="B14" s="6"/>
      <c r="C14" s="7"/>
      <c r="D14" s="33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idden="1" outlineLevel="1" x14ac:dyDescent="0.5">
      <c r="A15" s="43">
        <f t="shared" si="3"/>
        <v>9</v>
      </c>
      <c r="B15" s="6"/>
      <c r="C15" s="7"/>
      <c r="D15" s="33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idden="1" outlineLevel="1" x14ac:dyDescent="0.5">
      <c r="A16" s="43">
        <f t="shared" si="3"/>
        <v>10</v>
      </c>
      <c r="B16" s="6"/>
      <c r="C16" s="7"/>
      <c r="D16" s="33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5" hidden="1" customHeight="1" outlineLevel="1" x14ac:dyDescent="0.5">
      <c r="A17" s="43"/>
      <c r="B17" s="4"/>
      <c r="D17" s="29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s="52" customFormat="1" ht="14" collapsed="1" x14ac:dyDescent="0.5">
      <c r="A18" s="47"/>
      <c r="B18" s="48" t="s">
        <v>5</v>
      </c>
      <c r="C18" s="49"/>
      <c r="D18" s="50">
        <f>SUM(D7:D17)</f>
        <v>300</v>
      </c>
      <c r="E18" s="51">
        <f t="shared" ref="E18:AA18" si="4">SUM(E7:E17)</f>
        <v>500</v>
      </c>
      <c r="F18" s="51">
        <f t="shared" si="4"/>
        <v>600</v>
      </c>
      <c r="G18" s="51">
        <f t="shared" si="4"/>
        <v>0</v>
      </c>
      <c r="H18" s="51">
        <f t="shared" si="4"/>
        <v>0</v>
      </c>
      <c r="I18" s="51">
        <f t="shared" si="4"/>
        <v>0</v>
      </c>
      <c r="J18" s="51">
        <f t="shared" si="4"/>
        <v>0</v>
      </c>
      <c r="K18" s="51">
        <f t="shared" si="4"/>
        <v>0</v>
      </c>
      <c r="L18" s="51">
        <f t="shared" si="4"/>
        <v>0</v>
      </c>
      <c r="M18" s="51">
        <f t="shared" si="4"/>
        <v>0</v>
      </c>
      <c r="N18" s="51">
        <f t="shared" si="4"/>
        <v>0</v>
      </c>
      <c r="O18" s="51">
        <f t="shared" si="4"/>
        <v>0</v>
      </c>
      <c r="P18" s="51">
        <f t="shared" si="4"/>
        <v>0</v>
      </c>
      <c r="Q18" s="51">
        <f t="shared" si="4"/>
        <v>0</v>
      </c>
      <c r="R18" s="51">
        <f t="shared" si="4"/>
        <v>0</v>
      </c>
      <c r="S18" s="51">
        <f t="shared" si="4"/>
        <v>0</v>
      </c>
      <c r="T18" s="51">
        <f t="shared" si="4"/>
        <v>0</v>
      </c>
      <c r="U18" s="51">
        <f t="shared" si="4"/>
        <v>0</v>
      </c>
      <c r="V18" s="51">
        <f t="shared" si="4"/>
        <v>0</v>
      </c>
      <c r="W18" s="51">
        <f t="shared" si="4"/>
        <v>0</v>
      </c>
      <c r="X18" s="51">
        <f t="shared" si="4"/>
        <v>0</v>
      </c>
      <c r="Y18" s="51">
        <f t="shared" si="4"/>
        <v>0</v>
      </c>
      <c r="Z18" s="51">
        <f t="shared" si="4"/>
        <v>0</v>
      </c>
      <c r="AA18" s="51">
        <f t="shared" si="4"/>
        <v>0</v>
      </c>
    </row>
    <row r="19" spans="1:27" ht="8.1" customHeight="1" x14ac:dyDescent="0.5">
      <c r="A19" s="43"/>
      <c r="D19" s="1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.7" x14ac:dyDescent="0.5">
      <c r="A20" s="43"/>
      <c r="B20" s="54" t="s">
        <v>2</v>
      </c>
      <c r="C20" s="24"/>
      <c r="D20" s="25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x14ac:dyDescent="0.5">
      <c r="A21" s="43"/>
      <c r="B21" s="26" t="s">
        <v>3</v>
      </c>
      <c r="C21" s="27"/>
      <c r="D21" s="28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x14ac:dyDescent="0.5">
      <c r="A22" s="43">
        <v>1</v>
      </c>
      <c r="B22" s="4"/>
      <c r="C22" s="2" t="s">
        <v>26</v>
      </c>
      <c r="D22" s="29">
        <v>600</v>
      </c>
      <c r="E22" s="30">
        <v>700</v>
      </c>
      <c r="F22" s="30">
        <v>800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x14ac:dyDescent="0.5">
      <c r="A23" s="43">
        <f t="shared" ref="A23:A31" si="5">A22+1</f>
        <v>2</v>
      </c>
      <c r="B23" s="8"/>
      <c r="C23" s="9"/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x14ac:dyDescent="0.5">
      <c r="A24" s="43">
        <f t="shared" si="5"/>
        <v>3</v>
      </c>
      <c r="B24" s="6"/>
      <c r="C24" s="7"/>
      <c r="D24" s="33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5">
      <c r="A25" s="43">
        <f t="shared" si="5"/>
        <v>4</v>
      </c>
      <c r="B25" s="6"/>
      <c r="C25" s="7"/>
      <c r="D25" s="33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x14ac:dyDescent="0.5">
      <c r="A26" s="43">
        <f t="shared" si="5"/>
        <v>5</v>
      </c>
      <c r="B26" s="6"/>
      <c r="C26" s="7"/>
      <c r="D26" s="33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hidden="1" outlineLevel="1" x14ac:dyDescent="0.5">
      <c r="A27" s="43">
        <f t="shared" si="5"/>
        <v>6</v>
      </c>
      <c r="B27" s="6"/>
      <c r="C27" s="7"/>
      <c r="D27" s="33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hidden="1" outlineLevel="1" x14ac:dyDescent="0.5">
      <c r="A28" s="43">
        <f t="shared" si="5"/>
        <v>7</v>
      </c>
      <c r="B28" s="6"/>
      <c r="C28" s="7"/>
      <c r="D28" s="33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hidden="1" outlineLevel="1" x14ac:dyDescent="0.5">
      <c r="A29" s="43">
        <f t="shared" si="5"/>
        <v>8</v>
      </c>
      <c r="B29" s="6"/>
      <c r="C29" s="7"/>
      <c r="D29" s="33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idden="1" outlineLevel="1" x14ac:dyDescent="0.5">
      <c r="A30" s="43">
        <f t="shared" si="5"/>
        <v>9</v>
      </c>
      <c r="B30" s="6"/>
      <c r="C30" s="7"/>
      <c r="D30" s="33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idden="1" outlineLevel="1" x14ac:dyDescent="0.5">
      <c r="A31" s="43">
        <f t="shared" si="5"/>
        <v>10</v>
      </c>
      <c r="B31" s="6"/>
      <c r="C31" s="7"/>
      <c r="D31" s="33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5" hidden="1" customHeight="1" outlineLevel="1" x14ac:dyDescent="0.5">
      <c r="A32" s="43"/>
      <c r="B32" s="4"/>
      <c r="D32" s="2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s="52" customFormat="1" ht="14" collapsed="1" x14ac:dyDescent="0.5">
      <c r="A33" s="47"/>
      <c r="B33" s="48" t="s">
        <v>6</v>
      </c>
      <c r="C33" s="49"/>
      <c r="D33" s="50">
        <f>SUM(D22:D32)</f>
        <v>600</v>
      </c>
      <c r="E33" s="51">
        <f t="shared" ref="E33:AA33" si="6">SUM(E22:E32)</f>
        <v>700</v>
      </c>
      <c r="F33" s="51">
        <f t="shared" si="6"/>
        <v>800</v>
      </c>
      <c r="G33" s="51">
        <f t="shared" si="6"/>
        <v>0</v>
      </c>
      <c r="H33" s="51">
        <f t="shared" si="6"/>
        <v>0</v>
      </c>
      <c r="I33" s="51">
        <f t="shared" si="6"/>
        <v>0</v>
      </c>
      <c r="J33" s="51">
        <f t="shared" si="6"/>
        <v>0</v>
      </c>
      <c r="K33" s="51">
        <f t="shared" si="6"/>
        <v>0</v>
      </c>
      <c r="L33" s="51">
        <f t="shared" si="6"/>
        <v>0</v>
      </c>
      <c r="M33" s="51">
        <f t="shared" si="6"/>
        <v>0</v>
      </c>
      <c r="N33" s="51">
        <f t="shared" si="6"/>
        <v>0</v>
      </c>
      <c r="O33" s="51">
        <f t="shared" si="6"/>
        <v>0</v>
      </c>
      <c r="P33" s="51">
        <f t="shared" si="6"/>
        <v>0</v>
      </c>
      <c r="Q33" s="51">
        <f t="shared" si="6"/>
        <v>0</v>
      </c>
      <c r="R33" s="51">
        <f t="shared" si="6"/>
        <v>0</v>
      </c>
      <c r="S33" s="51">
        <f t="shared" si="6"/>
        <v>0</v>
      </c>
      <c r="T33" s="51">
        <f t="shared" si="6"/>
        <v>0</v>
      </c>
      <c r="U33" s="51">
        <f t="shared" si="6"/>
        <v>0</v>
      </c>
      <c r="V33" s="51">
        <f t="shared" si="6"/>
        <v>0</v>
      </c>
      <c r="W33" s="51">
        <f t="shared" si="6"/>
        <v>0</v>
      </c>
      <c r="X33" s="51">
        <f t="shared" si="6"/>
        <v>0</v>
      </c>
      <c r="Y33" s="51">
        <f t="shared" si="6"/>
        <v>0</v>
      </c>
      <c r="Z33" s="51">
        <f t="shared" si="6"/>
        <v>0</v>
      </c>
      <c r="AA33" s="51">
        <f t="shared" si="6"/>
        <v>0</v>
      </c>
    </row>
    <row r="34" spans="1:27" ht="8.1" customHeight="1" x14ac:dyDescent="0.5">
      <c r="A34" s="43"/>
      <c r="D34" s="1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7" x14ac:dyDescent="0.5">
      <c r="A35" s="43"/>
      <c r="B35" s="55" t="s">
        <v>10</v>
      </c>
      <c r="C35" s="36"/>
      <c r="D35" s="3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5">
      <c r="A36" s="43"/>
      <c r="B36" s="38" t="s">
        <v>11</v>
      </c>
      <c r="C36" s="39"/>
      <c r="D36" s="40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x14ac:dyDescent="0.5">
      <c r="A37" s="43">
        <v>1</v>
      </c>
      <c r="B37" s="4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x14ac:dyDescent="0.5">
      <c r="A38" s="43">
        <f t="shared" ref="A38:A46" si="7">A37+1</f>
        <v>2</v>
      </c>
      <c r="B38" s="8"/>
      <c r="C38" s="9"/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x14ac:dyDescent="0.5">
      <c r="A39" s="43">
        <f t="shared" si="7"/>
        <v>3</v>
      </c>
      <c r="B39" s="6"/>
      <c r="C39" s="7"/>
      <c r="D39" s="33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5">
      <c r="A40" s="43">
        <f t="shared" si="7"/>
        <v>4</v>
      </c>
      <c r="B40" s="6"/>
      <c r="C40" s="7"/>
      <c r="D40" s="33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5">
      <c r="A41" s="43">
        <f t="shared" si="7"/>
        <v>5</v>
      </c>
      <c r="B41" s="6"/>
      <c r="C41" s="7"/>
      <c r="D41" s="33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hidden="1" outlineLevel="1" x14ac:dyDescent="0.5">
      <c r="A42" s="43">
        <f t="shared" si="7"/>
        <v>6</v>
      </c>
      <c r="B42" s="6"/>
      <c r="C42" s="7"/>
      <c r="D42" s="33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hidden="1" outlineLevel="1" x14ac:dyDescent="0.5">
      <c r="A43" s="43">
        <f t="shared" si="7"/>
        <v>7</v>
      </c>
      <c r="B43" s="6"/>
      <c r="C43" s="7"/>
      <c r="D43" s="33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idden="1" outlineLevel="1" x14ac:dyDescent="0.5">
      <c r="A44" s="43">
        <f t="shared" si="7"/>
        <v>8</v>
      </c>
      <c r="B44" s="6"/>
      <c r="C44" s="7"/>
      <c r="D44" s="33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hidden="1" outlineLevel="1" x14ac:dyDescent="0.5">
      <c r="A45" s="43">
        <f t="shared" si="7"/>
        <v>9</v>
      </c>
      <c r="B45" s="6"/>
      <c r="C45" s="7"/>
      <c r="D45" s="33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hidden="1" outlineLevel="1" x14ac:dyDescent="0.5">
      <c r="A46" s="43">
        <f t="shared" si="7"/>
        <v>10</v>
      </c>
      <c r="B46" s="6"/>
      <c r="C46" s="7"/>
      <c r="D46" s="33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ht="5" hidden="1" customHeight="1" outlineLevel="1" x14ac:dyDescent="0.5">
      <c r="A47" s="43"/>
      <c r="B47" s="4"/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s="52" customFormat="1" ht="14" collapsed="1" x14ac:dyDescent="0.5">
      <c r="A48" s="47"/>
      <c r="B48" s="48" t="s">
        <v>12</v>
      </c>
      <c r="C48" s="49"/>
      <c r="D48" s="50">
        <f>SUM(D37:D47)</f>
        <v>0</v>
      </c>
      <c r="E48" s="51">
        <f t="shared" ref="E48:AA48" si="8">SUM(E37:E47)</f>
        <v>0</v>
      </c>
      <c r="F48" s="51">
        <f t="shared" si="8"/>
        <v>0</v>
      </c>
      <c r="G48" s="51">
        <f t="shared" si="8"/>
        <v>0</v>
      </c>
      <c r="H48" s="51">
        <f t="shared" si="8"/>
        <v>0</v>
      </c>
      <c r="I48" s="51">
        <f t="shared" si="8"/>
        <v>0</v>
      </c>
      <c r="J48" s="51">
        <f t="shared" si="8"/>
        <v>0</v>
      </c>
      <c r="K48" s="51">
        <f t="shared" si="8"/>
        <v>0</v>
      </c>
      <c r="L48" s="51">
        <f t="shared" si="8"/>
        <v>0</v>
      </c>
      <c r="M48" s="51">
        <f t="shared" si="8"/>
        <v>0</v>
      </c>
      <c r="N48" s="51">
        <f t="shared" si="8"/>
        <v>0</v>
      </c>
      <c r="O48" s="51">
        <f t="shared" si="8"/>
        <v>0</v>
      </c>
      <c r="P48" s="51">
        <f t="shared" si="8"/>
        <v>0</v>
      </c>
      <c r="Q48" s="51">
        <f t="shared" si="8"/>
        <v>0</v>
      </c>
      <c r="R48" s="51">
        <f t="shared" si="8"/>
        <v>0</v>
      </c>
      <c r="S48" s="51">
        <f t="shared" si="8"/>
        <v>0</v>
      </c>
      <c r="T48" s="51">
        <f t="shared" si="8"/>
        <v>0</v>
      </c>
      <c r="U48" s="51">
        <f t="shared" si="8"/>
        <v>0</v>
      </c>
      <c r="V48" s="51">
        <f t="shared" si="8"/>
        <v>0</v>
      </c>
      <c r="W48" s="51">
        <f t="shared" si="8"/>
        <v>0</v>
      </c>
      <c r="X48" s="51">
        <f t="shared" si="8"/>
        <v>0</v>
      </c>
      <c r="Y48" s="51">
        <f t="shared" si="8"/>
        <v>0</v>
      </c>
      <c r="Z48" s="51">
        <f t="shared" si="8"/>
        <v>0</v>
      </c>
      <c r="AA48" s="51">
        <f t="shared" si="8"/>
        <v>0</v>
      </c>
    </row>
    <row r="49" spans="1:27" ht="8.1" customHeight="1" x14ac:dyDescent="0.5">
      <c r="A49" s="43"/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5">
      <c r="A50" s="43"/>
      <c r="B50" s="18" t="s">
        <v>4</v>
      </c>
      <c r="C50" s="19"/>
      <c r="D50" s="20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x14ac:dyDescent="0.5">
      <c r="A51" s="43"/>
      <c r="B51" s="21" t="s">
        <v>24</v>
      </c>
      <c r="C51" s="22"/>
      <c r="D51" s="23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x14ac:dyDescent="0.5">
      <c r="A52" s="43">
        <v>1</v>
      </c>
      <c r="B52" s="4"/>
      <c r="C52" s="2" t="s">
        <v>25</v>
      </c>
      <c r="D52" s="29">
        <v>-100</v>
      </c>
      <c r="E52" s="30">
        <v>-125</v>
      </c>
      <c r="F52" s="30">
        <v>-110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x14ac:dyDescent="0.5">
      <c r="A53" s="43">
        <f t="shared" ref="A53:A61" si="9">A52+1</f>
        <v>2</v>
      </c>
      <c r="B53" s="8"/>
      <c r="C53" s="9"/>
      <c r="D53" s="31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x14ac:dyDescent="0.5">
      <c r="A54" s="43">
        <f t="shared" si="9"/>
        <v>3</v>
      </c>
      <c r="B54" s="6"/>
      <c r="C54" s="7"/>
      <c r="D54" s="33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x14ac:dyDescent="0.5">
      <c r="A55" s="43">
        <f t="shared" si="9"/>
        <v>4</v>
      </c>
      <c r="B55" s="6"/>
      <c r="C55" s="7"/>
      <c r="D55" s="33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x14ac:dyDescent="0.5">
      <c r="A56" s="43">
        <f t="shared" si="9"/>
        <v>5</v>
      </c>
      <c r="B56" s="6"/>
      <c r="C56" s="7"/>
      <c r="D56" s="33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idden="1" outlineLevel="1" x14ac:dyDescent="0.5">
      <c r="A57" s="43">
        <f t="shared" si="9"/>
        <v>6</v>
      </c>
      <c r="B57" s="6"/>
      <c r="C57" s="7"/>
      <c r="D57" s="33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idden="1" outlineLevel="1" x14ac:dyDescent="0.5">
      <c r="A58" s="43">
        <f t="shared" si="9"/>
        <v>7</v>
      </c>
      <c r="B58" s="6"/>
      <c r="C58" s="7"/>
      <c r="D58" s="33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idden="1" outlineLevel="1" x14ac:dyDescent="0.5">
      <c r="A59" s="43">
        <f t="shared" si="9"/>
        <v>8</v>
      </c>
      <c r="B59" s="6"/>
      <c r="C59" s="7"/>
      <c r="D59" s="33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idden="1" outlineLevel="1" x14ac:dyDescent="0.5">
      <c r="A60" s="43">
        <f t="shared" si="9"/>
        <v>9</v>
      </c>
      <c r="B60" s="6"/>
      <c r="C60" s="7"/>
      <c r="D60" s="33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idden="1" outlineLevel="1" x14ac:dyDescent="0.5">
      <c r="A61" s="43">
        <f t="shared" si="9"/>
        <v>10</v>
      </c>
      <c r="B61" s="6"/>
      <c r="C61" s="7"/>
      <c r="D61" s="33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5" hidden="1" customHeight="1" outlineLevel="1" x14ac:dyDescent="0.5">
      <c r="A62" s="43"/>
      <c r="B62" s="4"/>
      <c r="D62" s="29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s="52" customFormat="1" ht="14" collapsed="1" x14ac:dyDescent="0.5">
      <c r="A63" s="47"/>
      <c r="B63" s="48" t="s">
        <v>7</v>
      </c>
      <c r="C63" s="49"/>
      <c r="D63" s="50">
        <f>SUM(D52:D62)</f>
        <v>-100</v>
      </c>
      <c r="E63" s="51">
        <f t="shared" ref="E63:AA63" si="10">SUM(E52:E62)</f>
        <v>-125</v>
      </c>
      <c r="F63" s="51">
        <f t="shared" si="10"/>
        <v>-110</v>
      </c>
      <c r="G63" s="51">
        <f t="shared" si="10"/>
        <v>0</v>
      </c>
      <c r="H63" s="51">
        <f t="shared" si="10"/>
        <v>0</v>
      </c>
      <c r="I63" s="51">
        <f t="shared" si="10"/>
        <v>0</v>
      </c>
      <c r="J63" s="51">
        <f t="shared" si="10"/>
        <v>0</v>
      </c>
      <c r="K63" s="51">
        <f t="shared" si="10"/>
        <v>0</v>
      </c>
      <c r="L63" s="51">
        <f t="shared" si="10"/>
        <v>0</v>
      </c>
      <c r="M63" s="51">
        <f t="shared" si="10"/>
        <v>0</v>
      </c>
      <c r="N63" s="51">
        <f t="shared" si="10"/>
        <v>0</v>
      </c>
      <c r="O63" s="51">
        <f t="shared" si="10"/>
        <v>0</v>
      </c>
      <c r="P63" s="51">
        <f t="shared" si="10"/>
        <v>0</v>
      </c>
      <c r="Q63" s="51">
        <f t="shared" si="10"/>
        <v>0</v>
      </c>
      <c r="R63" s="51">
        <f t="shared" si="10"/>
        <v>0</v>
      </c>
      <c r="S63" s="51">
        <f t="shared" si="10"/>
        <v>0</v>
      </c>
      <c r="T63" s="51">
        <f t="shared" si="10"/>
        <v>0</v>
      </c>
      <c r="U63" s="51">
        <f t="shared" si="10"/>
        <v>0</v>
      </c>
      <c r="V63" s="51">
        <f t="shared" si="10"/>
        <v>0</v>
      </c>
      <c r="W63" s="51">
        <f t="shared" si="10"/>
        <v>0</v>
      </c>
      <c r="X63" s="51">
        <f t="shared" si="10"/>
        <v>0</v>
      </c>
      <c r="Y63" s="51">
        <f t="shared" si="10"/>
        <v>0</v>
      </c>
      <c r="Z63" s="51">
        <f t="shared" si="10"/>
        <v>0</v>
      </c>
      <c r="AA63" s="51">
        <f t="shared" si="10"/>
        <v>0</v>
      </c>
    </row>
    <row r="64" spans="1:27" ht="8.1" customHeight="1" x14ac:dyDescent="0.5">
      <c r="A64" s="43"/>
      <c r="D64" s="1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s="52" customFormat="1" ht="13.5" customHeight="1" x14ac:dyDescent="0.5">
      <c r="A65" s="47"/>
      <c r="B65" s="52" t="s">
        <v>15</v>
      </c>
      <c r="D65" s="56">
        <f>SUM(D18,D33,D48)</f>
        <v>900</v>
      </c>
      <c r="E65" s="57">
        <f t="shared" ref="E65:O65" si="11">SUM(E18,E33,E48)</f>
        <v>1200</v>
      </c>
      <c r="F65" s="57">
        <f t="shared" si="11"/>
        <v>1400</v>
      </c>
      <c r="G65" s="57">
        <f t="shared" si="11"/>
        <v>0</v>
      </c>
      <c r="H65" s="57">
        <f t="shared" si="11"/>
        <v>0</v>
      </c>
      <c r="I65" s="57">
        <f t="shared" si="11"/>
        <v>0</v>
      </c>
      <c r="J65" s="57">
        <f t="shared" si="11"/>
        <v>0</v>
      </c>
      <c r="K65" s="57">
        <f t="shared" si="11"/>
        <v>0</v>
      </c>
      <c r="L65" s="57">
        <f t="shared" si="11"/>
        <v>0</v>
      </c>
      <c r="M65" s="57">
        <f t="shared" si="11"/>
        <v>0</v>
      </c>
      <c r="N65" s="57">
        <f t="shared" si="11"/>
        <v>0</v>
      </c>
      <c r="O65" s="57">
        <f t="shared" si="11"/>
        <v>0</v>
      </c>
      <c r="P65" s="57">
        <f t="shared" ref="P65:AA65" si="12">SUM(P18,P33,P48)</f>
        <v>0</v>
      </c>
      <c r="Q65" s="57">
        <f t="shared" si="12"/>
        <v>0</v>
      </c>
      <c r="R65" s="57">
        <f t="shared" si="12"/>
        <v>0</v>
      </c>
      <c r="S65" s="57">
        <f t="shared" si="12"/>
        <v>0</v>
      </c>
      <c r="T65" s="57">
        <f t="shared" si="12"/>
        <v>0</v>
      </c>
      <c r="U65" s="57">
        <f t="shared" si="12"/>
        <v>0</v>
      </c>
      <c r="V65" s="57">
        <f t="shared" si="12"/>
        <v>0</v>
      </c>
      <c r="W65" s="57">
        <f t="shared" si="12"/>
        <v>0</v>
      </c>
      <c r="X65" s="57">
        <f t="shared" si="12"/>
        <v>0</v>
      </c>
      <c r="Y65" s="57">
        <f t="shared" si="12"/>
        <v>0</v>
      </c>
      <c r="Z65" s="57">
        <f t="shared" si="12"/>
        <v>0</v>
      </c>
      <c r="AA65" s="57">
        <f t="shared" si="12"/>
        <v>0</v>
      </c>
    </row>
    <row r="66" spans="1:27" s="52" customFormat="1" ht="13.5" customHeight="1" x14ac:dyDescent="0.5">
      <c r="A66" s="47"/>
      <c r="B66" s="58" t="s">
        <v>16</v>
      </c>
      <c r="C66" s="58"/>
      <c r="D66" s="59">
        <f>D63</f>
        <v>-100</v>
      </c>
      <c r="E66" s="60">
        <f t="shared" ref="E66:O66" si="13">E63</f>
        <v>-125</v>
      </c>
      <c r="F66" s="60">
        <f t="shared" si="13"/>
        <v>-110</v>
      </c>
      <c r="G66" s="60">
        <f t="shared" si="13"/>
        <v>0</v>
      </c>
      <c r="H66" s="60">
        <f t="shared" si="13"/>
        <v>0</v>
      </c>
      <c r="I66" s="60">
        <f t="shared" si="13"/>
        <v>0</v>
      </c>
      <c r="J66" s="60">
        <f t="shared" si="13"/>
        <v>0</v>
      </c>
      <c r="K66" s="60">
        <f t="shared" si="13"/>
        <v>0</v>
      </c>
      <c r="L66" s="60">
        <f t="shared" si="13"/>
        <v>0</v>
      </c>
      <c r="M66" s="60">
        <f t="shared" si="13"/>
        <v>0</v>
      </c>
      <c r="N66" s="60">
        <f t="shared" si="13"/>
        <v>0</v>
      </c>
      <c r="O66" s="60">
        <f t="shared" si="13"/>
        <v>0</v>
      </c>
      <c r="P66" s="60">
        <f t="shared" ref="P66:AA66" si="14">P63</f>
        <v>0</v>
      </c>
      <c r="Q66" s="60">
        <f t="shared" si="14"/>
        <v>0</v>
      </c>
      <c r="R66" s="60">
        <f t="shared" si="14"/>
        <v>0</v>
      </c>
      <c r="S66" s="60">
        <f t="shared" si="14"/>
        <v>0</v>
      </c>
      <c r="T66" s="60">
        <f t="shared" si="14"/>
        <v>0</v>
      </c>
      <c r="U66" s="60">
        <f t="shared" si="14"/>
        <v>0</v>
      </c>
      <c r="V66" s="60">
        <f t="shared" si="14"/>
        <v>0</v>
      </c>
      <c r="W66" s="60">
        <f t="shared" si="14"/>
        <v>0</v>
      </c>
      <c r="X66" s="60">
        <f t="shared" si="14"/>
        <v>0</v>
      </c>
      <c r="Y66" s="60">
        <f t="shared" si="14"/>
        <v>0</v>
      </c>
      <c r="Z66" s="60">
        <f t="shared" si="14"/>
        <v>0</v>
      </c>
      <c r="AA66" s="60">
        <f t="shared" si="14"/>
        <v>0</v>
      </c>
    </row>
    <row r="67" spans="1:27" s="52" customFormat="1" ht="14.35" thickBot="1" x14ac:dyDescent="0.55000000000000004">
      <c r="A67" s="47"/>
      <c r="B67" s="61" t="s">
        <v>17</v>
      </c>
      <c r="C67" s="61"/>
      <c r="D67" s="62">
        <f>SUM(D65:D66)</f>
        <v>800</v>
      </c>
      <c r="E67" s="63">
        <f t="shared" ref="E67:O67" si="15">SUM(E65:E66)</f>
        <v>1075</v>
      </c>
      <c r="F67" s="63">
        <f t="shared" si="15"/>
        <v>1290</v>
      </c>
      <c r="G67" s="63">
        <f t="shared" si="15"/>
        <v>0</v>
      </c>
      <c r="H67" s="63">
        <f t="shared" si="15"/>
        <v>0</v>
      </c>
      <c r="I67" s="63">
        <f t="shared" si="15"/>
        <v>0</v>
      </c>
      <c r="J67" s="63">
        <f t="shared" si="15"/>
        <v>0</v>
      </c>
      <c r="K67" s="63">
        <f t="shared" si="15"/>
        <v>0</v>
      </c>
      <c r="L67" s="63">
        <f t="shared" si="15"/>
        <v>0</v>
      </c>
      <c r="M67" s="63">
        <f t="shared" si="15"/>
        <v>0</v>
      </c>
      <c r="N67" s="63">
        <f t="shared" si="15"/>
        <v>0</v>
      </c>
      <c r="O67" s="63">
        <f t="shared" si="15"/>
        <v>0</v>
      </c>
      <c r="P67" s="63">
        <f t="shared" ref="P67:AA67" si="16">SUM(P65:P66)</f>
        <v>0</v>
      </c>
      <c r="Q67" s="63">
        <f t="shared" si="16"/>
        <v>0</v>
      </c>
      <c r="R67" s="63">
        <f t="shared" si="16"/>
        <v>0</v>
      </c>
      <c r="S67" s="63">
        <f t="shared" si="16"/>
        <v>0</v>
      </c>
      <c r="T67" s="63">
        <f t="shared" si="16"/>
        <v>0</v>
      </c>
      <c r="U67" s="63">
        <f t="shared" si="16"/>
        <v>0</v>
      </c>
      <c r="V67" s="63">
        <f t="shared" si="16"/>
        <v>0</v>
      </c>
      <c r="W67" s="63">
        <f t="shared" si="16"/>
        <v>0</v>
      </c>
      <c r="X67" s="63">
        <f t="shared" si="16"/>
        <v>0</v>
      </c>
      <c r="Y67" s="63">
        <f t="shared" si="16"/>
        <v>0</v>
      </c>
      <c r="Z67" s="63">
        <f t="shared" si="16"/>
        <v>0</v>
      </c>
      <c r="AA67" s="63">
        <f t="shared" si="16"/>
        <v>0</v>
      </c>
    </row>
    <row r="68" spans="1:27" x14ac:dyDescent="0.5">
      <c r="B68" s="44" t="s">
        <v>21</v>
      </c>
      <c r="C68" s="44"/>
      <c r="D68" s="64"/>
      <c r="E68" s="64">
        <f>E67-D67</f>
        <v>275</v>
      </c>
      <c r="F68" s="64">
        <f t="shared" ref="F68:AA68" si="17">F67-E67</f>
        <v>215</v>
      </c>
      <c r="G68" s="64">
        <f t="shared" si="17"/>
        <v>-1290</v>
      </c>
      <c r="H68" s="64">
        <f t="shared" si="17"/>
        <v>0</v>
      </c>
      <c r="I68" s="64">
        <f t="shared" si="17"/>
        <v>0</v>
      </c>
      <c r="J68" s="64">
        <f t="shared" si="17"/>
        <v>0</v>
      </c>
      <c r="K68" s="64">
        <f t="shared" si="17"/>
        <v>0</v>
      </c>
      <c r="L68" s="64">
        <f t="shared" si="17"/>
        <v>0</v>
      </c>
      <c r="M68" s="64">
        <f t="shared" si="17"/>
        <v>0</v>
      </c>
      <c r="N68" s="64">
        <f t="shared" si="17"/>
        <v>0</v>
      </c>
      <c r="O68" s="64">
        <f t="shared" si="17"/>
        <v>0</v>
      </c>
      <c r="P68" s="64">
        <f t="shared" si="17"/>
        <v>0</v>
      </c>
      <c r="Q68" s="64">
        <f t="shared" si="17"/>
        <v>0</v>
      </c>
      <c r="R68" s="64">
        <f t="shared" si="17"/>
        <v>0</v>
      </c>
      <c r="S68" s="64">
        <f t="shared" si="17"/>
        <v>0</v>
      </c>
      <c r="T68" s="64">
        <f t="shared" si="17"/>
        <v>0</v>
      </c>
      <c r="U68" s="64">
        <f t="shared" si="17"/>
        <v>0</v>
      </c>
      <c r="V68" s="64">
        <f t="shared" si="17"/>
        <v>0</v>
      </c>
      <c r="W68" s="64">
        <f t="shared" si="17"/>
        <v>0</v>
      </c>
      <c r="X68" s="64">
        <f t="shared" si="17"/>
        <v>0</v>
      </c>
      <c r="Y68" s="64">
        <f t="shared" si="17"/>
        <v>0</v>
      </c>
      <c r="Z68" s="64">
        <f t="shared" si="17"/>
        <v>0</v>
      </c>
      <c r="AA68" s="64">
        <f t="shared" si="17"/>
        <v>0</v>
      </c>
    </row>
    <row r="69" spans="1:27" x14ac:dyDescent="0.5">
      <c r="B69" s="44" t="s">
        <v>20</v>
      </c>
      <c r="C69" s="4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>
        <f>P67-D67</f>
        <v>-800</v>
      </c>
      <c r="Q69" s="64">
        <f t="shared" ref="Q69:AA69" si="18">Q67-E67</f>
        <v>-1075</v>
      </c>
      <c r="R69" s="64">
        <f t="shared" si="18"/>
        <v>-1290</v>
      </c>
      <c r="S69" s="64">
        <f t="shared" si="18"/>
        <v>0</v>
      </c>
      <c r="T69" s="64">
        <f t="shared" si="18"/>
        <v>0</v>
      </c>
      <c r="U69" s="64">
        <f t="shared" si="18"/>
        <v>0</v>
      </c>
      <c r="V69" s="64">
        <f t="shared" si="18"/>
        <v>0</v>
      </c>
      <c r="W69" s="64">
        <f t="shared" si="18"/>
        <v>0</v>
      </c>
      <c r="X69" s="64">
        <f t="shared" si="18"/>
        <v>0</v>
      </c>
      <c r="Y69" s="64">
        <f t="shared" si="18"/>
        <v>0</v>
      </c>
      <c r="Z69" s="64">
        <f t="shared" si="18"/>
        <v>0</v>
      </c>
      <c r="AA69" s="64">
        <f t="shared" si="18"/>
        <v>0</v>
      </c>
    </row>
    <row r="71" spans="1:27" x14ac:dyDescent="0.5">
      <c r="B71" s="2" t="s">
        <v>13</v>
      </c>
    </row>
    <row r="72" spans="1:27" x14ac:dyDescent="0.5">
      <c r="B72" s="2" t="s">
        <v>14</v>
      </c>
    </row>
    <row r="73" spans="1:27" x14ac:dyDescent="0.5">
      <c r="B73" s="2" t="s">
        <v>18</v>
      </c>
    </row>
    <row r="74" spans="1:27" x14ac:dyDescent="0.5">
      <c r="B74" s="2" t="s">
        <v>23</v>
      </c>
    </row>
  </sheetData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Worth Tracker</vt:lpstr>
    </vt:vector>
  </TitlesOfParts>
  <Company>BELL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TMOAP</cp:lastModifiedBy>
  <dcterms:created xsi:type="dcterms:W3CDTF">2018-08-31T00:12:09Z</dcterms:created>
  <dcterms:modified xsi:type="dcterms:W3CDTF">2025-01-08T05:14:24Z</dcterms:modified>
</cp:coreProperties>
</file>