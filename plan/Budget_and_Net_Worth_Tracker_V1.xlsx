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vestments" sheetId="2" r:id="rId5"/>
    <sheet state="visible" name="Expenses" sheetId="3" r:id="rId6"/>
    <sheet state="visible" name="Income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TEIrJI29AEoeFRsfy3KsKNuuAJsQWG5baMVPJA9nkzs="/>
    </ext>
  </extLst>
</workbook>
</file>

<file path=xl/sharedStrings.xml><?xml version="1.0" encoding="utf-8"?>
<sst xmlns="http://schemas.openxmlformats.org/spreadsheetml/2006/main" count="216" uniqueCount="81">
  <si>
    <t>Investment Account Tracker</t>
  </si>
  <si>
    <t>Income</t>
  </si>
  <si>
    <t>Expenses</t>
  </si>
  <si>
    <t>Log every expense as it happens. Date, Description, Amount are yours to fill in; pick a Type from the dropdown.</t>
  </si>
  <si>
    <t>Log each paycheck, dividend, or other income event. Date, Description, Amount are yours to fill in; pick a Type from the dropdown.</t>
  </si>
  <si>
    <t>Legend</t>
  </si>
  <si>
    <t>Enter your account balance once a month, plus any money you added or withdrew. Gain $/% is calculated automatically and excludes your own contributions.</t>
  </si>
  <si>
    <t>Blue text = your input</t>
  </si>
  <si>
    <t>Date</t>
  </si>
  <si>
    <t>Description</t>
  </si>
  <si>
    <t>Black text = formula (don't edit)</t>
  </si>
  <si>
    <t>Amount ($)</t>
  </si>
  <si>
    <t>Type</t>
  </si>
  <si>
    <t>Starting Balances (as of Dec 31, 2025)</t>
  </si>
  <si>
    <t>Example: Trader Joe's</t>
  </si>
  <si>
    <t>Example: Paycheck</t>
  </si>
  <si>
    <t>Account</t>
  </si>
  <si>
    <t>Balance ($)</t>
  </si>
  <si>
    <t>W2</t>
  </si>
  <si>
    <t>HSA (UP)</t>
  </si>
  <si>
    <t>HSA (Valstone)</t>
  </si>
  <si>
    <t>Roth IRA</t>
  </si>
  <si>
    <t>401k (UP)</t>
  </si>
  <si>
    <t>401k (Valstone)</t>
  </si>
  <si>
    <t>HYSA</t>
  </si>
  <si>
    <t>Checking - US</t>
  </si>
  <si>
    <t>Checking - FB</t>
  </si>
  <si>
    <t>Groceries</t>
  </si>
  <si>
    <t>Contribution / Withdrawal ($)</t>
  </si>
  <si>
    <t>Prior Balance ($)</t>
  </si>
  <si>
    <t>Gain ($)</t>
  </si>
  <si>
    <t>Gain (%)</t>
  </si>
  <si>
    <t>Checking (USB)</t>
  </si>
  <si>
    <t>Checking (FIB)</t>
  </si>
  <si>
    <t>Summary</t>
  </si>
  <si>
    <t>Pulls automatically from the Investments tab. To add another year, copy the last month's column formulas one column to the right and update the date header.</t>
  </si>
  <si>
    <t>Monthly Investment Gains by Account ($)</t>
  </si>
  <si>
    <t>HSA 1</t>
  </si>
  <si>
    <t>HSA 2</t>
  </si>
  <si>
    <t>401k 1</t>
  </si>
  <si>
    <t>401k 2</t>
  </si>
  <si>
    <t>Checking 1</t>
  </si>
  <si>
    <t>Checking 2</t>
  </si>
  <si>
    <t>Total Gains</t>
  </si>
  <si>
    <t>Account Balance by Month ($)</t>
  </si>
  <si>
    <t>Net Worth</t>
  </si>
  <si>
    <t>Monthly Spending by Category ($)</t>
  </si>
  <si>
    <t>Category</t>
  </si>
  <si>
    <t>Housing</t>
  </si>
  <si>
    <t>Dining</t>
  </si>
  <si>
    <t>Transportation</t>
  </si>
  <si>
    <t>Utilities</t>
  </si>
  <si>
    <t>Account Names</t>
  </si>
  <si>
    <t>Expense Categories</t>
  </si>
  <si>
    <t>Income Types</t>
  </si>
  <si>
    <t>Salary</t>
  </si>
  <si>
    <t>Dividends</t>
  </si>
  <si>
    <t>Vehicle</t>
  </si>
  <si>
    <t>Interest</t>
  </si>
  <si>
    <t>Bonus</t>
  </si>
  <si>
    <t>Insurance</t>
  </si>
  <si>
    <t>Other</t>
  </si>
  <si>
    <t>Entertainment</t>
  </si>
  <si>
    <t>Debt (Tim School)</t>
  </si>
  <si>
    <t>Debt (Cheyney School)</t>
  </si>
  <si>
    <t>Healthcare</t>
  </si>
  <si>
    <t>Subscriptions</t>
  </si>
  <si>
    <t>Shopping</t>
  </si>
  <si>
    <t>Debt</t>
  </si>
  <si>
    <t>Total Spending</t>
  </si>
  <si>
    <t>Monthly Income by Type ($)</t>
  </si>
  <si>
    <t>Total Income</t>
  </si>
  <si>
    <t>Net Cash Flow (Income − Spending)</t>
  </si>
  <si>
    <t>Additional Insights</t>
  </si>
  <si>
    <t>Total Contributions to Investments ($)</t>
  </si>
  <si>
    <t>Savings Rate (%)</t>
  </si>
  <si>
    <t>Note: Savings Rate approximates (cash saved + investment contributions) ÷ (take-home income + contributions). Pre-tax contributions aren't in Income, so this adds them back on both sides as a proxy for total money in.</t>
  </si>
  <si>
    <t>Net Worth MoM Change (%)</t>
  </si>
  <si>
    <t>Emergency Fund Runway (months)</t>
  </si>
  <si>
    <t>Note: liquid cash (HYSA + checking) ÷ average monthly spending from Jan through the selected month.</t>
  </si>
  <si>
    <t>Top Spending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</si>
</sst>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\$#,##0.00"/>
    <numFmt numFmtId="166" formatCode="\$#,##0"/>
    <numFmt numFmtId="167" formatCode="mmm\-yyyy"/>
    <numFmt numFmtId="168" formatCode="\$#,##0;&quot;($&quot;#,##0\);\-"/>
    <numFmt numFmtId="169" formatCode="0.0%"/>
    <numFmt numFmtId="170" formatCode="0.0"/>
  </numFmts>
  <fonts count="12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b/>
      <sz val="11.0"/>
      <color theme="1"/>
      <name val="Arial"/>
    </font>
    <font>
      <sz val="11.0"/>
      <color rgb="FF0000FF"/>
      <name val="Arial"/>
    </font>
    <font>
      <b/>
      <sz val="11.0"/>
      <color rgb="FFFFFFFF"/>
      <name val="Arial"/>
    </font>
    <font>
      <sz val="11.0"/>
      <color rgb="FF000000"/>
      <name val="Arial"/>
    </font>
    <font/>
    <font>
      <sz val="11.0"/>
      <color theme="1"/>
      <name val="Arial"/>
    </font>
    <font>
      <color theme="1"/>
      <name val="Arial"/>
    </font>
    <font>
      <i/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</fills>
  <borders count="6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2" fillId="3" fontId="4" numFmtId="0" xfId="0" applyAlignment="1" applyBorder="1" applyFill="1" applyFont="1">
      <alignment shrinkToFit="0" vertical="bottom" wrapText="0"/>
    </xf>
    <xf borderId="1" fillId="4" fontId="5" numFmtId="164" xfId="0" applyAlignment="1" applyBorder="1" applyFill="1" applyFont="1" applyNumberFormat="1">
      <alignment shrinkToFit="0" vertical="bottom" wrapText="0"/>
    </xf>
    <xf borderId="3" fillId="0" fontId="8" numFmtId="0" xfId="0" applyBorder="1" applyFont="1"/>
    <xf borderId="1" fillId="4" fontId="5" numFmtId="0" xfId="0" applyAlignment="1" applyBorder="1" applyFont="1">
      <alignment shrinkToFit="0" vertical="bottom" wrapText="0"/>
    </xf>
    <xf borderId="4" fillId="2" fontId="6" numFmtId="0" xfId="0" applyAlignment="1" applyBorder="1" applyFont="1">
      <alignment shrinkToFit="0" vertical="bottom" wrapText="0"/>
    </xf>
    <xf borderId="1" fillId="4" fontId="5" numFmtId="165" xfId="0" applyAlignment="1" applyBorder="1" applyFont="1" applyNumberFormat="1">
      <alignment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4" fontId="5" numFmtId="166" xfId="0" applyAlignment="1" applyBorder="1" applyFont="1" applyNumberForma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horizontal="center" shrinkToFit="0" vertical="bottom" wrapText="1"/>
    </xf>
    <xf borderId="1" fillId="0" fontId="9" numFmtId="167" xfId="0" applyAlignment="1" applyBorder="1" applyFont="1" applyNumberFormat="1">
      <alignment shrinkToFit="0" vertical="bottom" wrapText="0"/>
    </xf>
    <xf borderId="1" fillId="0" fontId="7" numFmtId="166" xfId="0" applyAlignment="1" applyBorder="1" applyFont="1" applyNumberFormat="1">
      <alignment shrinkToFit="0" vertical="bottom" wrapText="0"/>
    </xf>
    <xf borderId="1" fillId="0" fontId="7" numFmtId="168" xfId="0" applyAlignment="1" applyBorder="1" applyFont="1" applyNumberFormat="1">
      <alignment shrinkToFit="0" vertical="bottom" wrapText="0"/>
    </xf>
    <xf borderId="1" fillId="0" fontId="7" numFmtId="169" xfId="0" applyAlignment="1" applyBorder="1" applyFont="1" applyNumberFormat="1">
      <alignment shrinkToFit="0" vertical="bottom" wrapText="0"/>
    </xf>
    <xf borderId="5" fillId="0" fontId="8" numFmtId="0" xfId="0" applyBorder="1" applyFont="1"/>
    <xf borderId="1" fillId="2" fontId="6" numFmtId="0" xfId="0" applyAlignment="1" applyBorder="1" applyFont="1">
      <alignment shrinkToFit="0" vertical="bottom" wrapText="0"/>
    </xf>
    <xf borderId="1" fillId="2" fontId="6" numFmtId="167" xfId="0" applyAlignment="1" applyBorder="1" applyFont="1" applyNumberFormat="1">
      <alignment horizontal="center"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4" numFmtId="168" xfId="0" applyAlignment="1" applyBorder="1" applyFont="1" applyNumberForma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readingOrder="0"/>
    </xf>
    <xf borderId="1" fillId="3" fontId="4" numFmtId="0" xfId="0" applyAlignment="1" applyBorder="1" applyFont="1">
      <alignment shrinkToFit="0" vertical="bottom" wrapText="0"/>
    </xf>
    <xf borderId="1" fillId="3" fontId="4" numFmtId="168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1" fillId="0" fontId="7" numFmtId="170" xfId="0" applyAlignment="1" applyBorder="1" applyFont="1" applyNumberForma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Total Portfolio Value &amp; Monthly Gains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Net Worth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Summary!$B$18:$M$18</c:f>
            </c:strRef>
          </c:cat>
          <c:val>
            <c:numRef>
              <c:f>Summary!$B$27:$M$27</c:f>
              <c:numCache/>
            </c:numRef>
          </c:val>
          <c:smooth val="1"/>
        </c:ser>
        <c:axId val="552472879"/>
        <c:axId val="1801313882"/>
      </c:lineChart>
      <c:catAx>
        <c:axId val="552472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mmm\-yy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01313882"/>
      </c:catAx>
      <c:valAx>
        <c:axId val="1801313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Net Worth ($)</a:t>
                </a:r>
              </a:p>
            </c:rich>
          </c:tx>
          <c:overlay val="0"/>
        </c:title>
        <c:numFmt formatCode="\$#,##0;&quot;($&quot;#,##0\);\-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52472879"/>
      </c:valAx>
      <c:lineChart>
        <c:varyColors val="0"/>
        <c:ser>
          <c:idx val="1"/>
          <c:order val="1"/>
          <c:tx>
            <c:v>Total Gains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Summary!$B$18:$M$18</c:f>
            </c:strRef>
          </c:cat>
          <c:val>
            <c:numRef>
              <c:f>Summary!$B$14:$M$14</c:f>
              <c:numCache/>
            </c:numRef>
          </c:val>
          <c:smooth val="1"/>
        </c:ser>
        <c:axId val="1278703862"/>
        <c:axId val="911987975"/>
      </c:lineChart>
      <c:catAx>
        <c:axId val="1278703862"/>
        <c:scaling>
          <c:orientation val="minMax"/>
        </c:scaling>
        <c:delete val="1"/>
        <c:axPos val="b"/>
        <c:numFmt formatCode="mmm\-yy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11987975"/>
      </c:catAx>
      <c:valAx>
        <c:axId val="91198797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Total Gains ($)</a:t>
                </a:r>
              </a:p>
            </c:rich>
          </c:tx>
          <c:overlay val="0"/>
        </c:title>
        <c:numFmt formatCode="\$#,##0;&quot;($&quot;#,##0\);\-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78703862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Account Value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HSA 1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Summary!$B$18:$M$18</c:f>
            </c:strRef>
          </c:cat>
          <c:val>
            <c:numRef>
              <c:f>Summary!$B$19:$M$19</c:f>
              <c:numCache/>
            </c:numRef>
          </c:val>
          <c:smooth val="1"/>
        </c:ser>
        <c:ser>
          <c:idx val="1"/>
          <c:order val="1"/>
          <c:tx>
            <c:v>HSA 2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Summary!$B$18:$M$18</c:f>
            </c:strRef>
          </c:cat>
          <c:val>
            <c:numRef>
              <c:f>Summary!$B$20:$M$20</c:f>
              <c:numCache/>
            </c:numRef>
          </c:val>
          <c:smooth val="1"/>
        </c:ser>
        <c:ser>
          <c:idx val="2"/>
          <c:order val="2"/>
          <c:tx>
            <c:v>Roth IRA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Summary!$B$18:$M$18</c:f>
            </c:strRef>
          </c:cat>
          <c:val>
            <c:numRef>
              <c:f>Summary!$B$21:$M$21</c:f>
              <c:numCache/>
            </c:numRef>
          </c:val>
          <c:smooth val="1"/>
        </c:ser>
        <c:ser>
          <c:idx val="3"/>
          <c:order val="3"/>
          <c:tx>
            <c:v>401k 1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Summary!$B$18:$M$18</c:f>
            </c:strRef>
          </c:cat>
          <c:val>
            <c:numRef>
              <c:f>Summary!$B$22:$M$22</c:f>
              <c:numCache/>
            </c:numRef>
          </c:val>
          <c:smooth val="1"/>
        </c:ser>
        <c:ser>
          <c:idx val="4"/>
          <c:order val="4"/>
          <c:tx>
            <c:v>401k 2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Summary!$B$18:$M$18</c:f>
            </c:strRef>
          </c:cat>
          <c:val>
            <c:numRef>
              <c:f>Summary!$B$23:$M$23</c:f>
              <c:numCache/>
            </c:numRef>
          </c:val>
          <c:smooth val="1"/>
        </c:ser>
        <c:ser>
          <c:idx val="5"/>
          <c:order val="5"/>
          <c:tx>
            <c:v>HYSA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Summary!$B$18:$M$18</c:f>
            </c:strRef>
          </c:cat>
          <c:val>
            <c:numRef>
              <c:f>Summary!$B$24:$M$24</c:f>
              <c:numCache/>
            </c:numRef>
          </c:val>
          <c:smooth val="1"/>
        </c:ser>
        <c:ser>
          <c:idx val="6"/>
          <c:order val="6"/>
          <c:tx>
            <c:v>Checking 1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Summary!$B$18:$M$18</c:f>
            </c:strRef>
          </c:cat>
          <c:val>
            <c:numRef>
              <c:f>Summary!$B$25:$M$25</c:f>
              <c:numCache/>
            </c:numRef>
          </c:val>
          <c:smooth val="1"/>
        </c:ser>
        <c:ser>
          <c:idx val="7"/>
          <c:order val="7"/>
          <c:tx>
            <c:v>Checking 2</c:v>
          </c:tx>
          <c:spPr>
            <a:ln cmpd="sng">
              <a:solidFill>
                <a:srgbClr val="FFFFFF"/>
              </a:solidFill>
            </a:ln>
          </c:spPr>
          <c:marker>
            <c:symbol val="none"/>
          </c:marker>
          <c:cat>
            <c:strRef>
              <c:f>Summary!$B$18:$M$18</c:f>
            </c:strRef>
          </c:cat>
          <c:val>
            <c:numRef>
              <c:f>Summary!$B$26:$M$26</c:f>
              <c:numCache/>
            </c:numRef>
          </c:val>
          <c:smooth val="1"/>
        </c:ser>
        <c:axId val="153156682"/>
        <c:axId val="569559230"/>
      </c:lineChart>
      <c:catAx>
        <c:axId val="1531566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mmm\-yy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69559230"/>
      </c:catAx>
      <c:valAx>
        <c:axId val="569559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</c:title>
        <c:numFmt formatCode="\$#,##0;&quot;($&quot;#,##0\);\-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15668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152400</xdr:rowOff>
    </xdr:from>
    <xdr:ext cx="6810375" cy="3019425"/>
    <xdr:graphicFrame>
      <xdr:nvGraphicFramePr>
        <xdr:cNvPr id="111965839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45</xdr:row>
      <xdr:rowOff>152400</xdr:rowOff>
    </xdr:from>
    <xdr:ext cx="6810375" cy="3019425"/>
    <xdr:graphicFrame>
      <xdr:nvGraphicFramePr>
        <xdr:cNvPr id="106348206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7.0"/>
    <col customWidth="1" min="2" max="13" width="12.0"/>
    <col customWidth="1" min="14" max="26" width="8.71"/>
  </cols>
  <sheetData>
    <row r="1" ht="17.25" customHeight="1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35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0" customHeight="1">
      <c r="A4" s="8" t="s">
        <v>36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10"/>
    </row>
    <row r="5" ht="15.0" customHeight="1">
      <c r="A5" s="26" t="s">
        <v>16</v>
      </c>
      <c r="B5" s="27">
        <v>46023.0</v>
      </c>
      <c r="C5" s="27">
        <v>46054.0</v>
      </c>
      <c r="D5" s="27">
        <v>46082.0</v>
      </c>
      <c r="E5" s="27">
        <v>46113.0</v>
      </c>
      <c r="F5" s="27">
        <v>46143.0</v>
      </c>
      <c r="G5" s="27">
        <v>46174.0</v>
      </c>
      <c r="H5" s="27">
        <v>46204.0</v>
      </c>
      <c r="I5" s="27">
        <v>46235.0</v>
      </c>
      <c r="J5" s="27">
        <v>46266.0</v>
      </c>
      <c r="K5" s="27">
        <v>46296.0</v>
      </c>
      <c r="L5" s="27">
        <v>46327.0</v>
      </c>
      <c r="M5" s="27">
        <v>46357.0</v>
      </c>
    </row>
    <row r="6" ht="15.0" customHeight="1">
      <c r="A6" s="19" t="s">
        <v>37</v>
      </c>
      <c r="B6" s="23">
        <f>SUMIFS(Investments!$F$17:$F$5000,Investments!$B$17:$B$5000,$A6,Investments!$A$17:$A$5000,B$5)</f>
        <v>0</v>
      </c>
      <c r="C6" s="23">
        <f>SUMIFS(Investments!$F$17:$F$5000,Investments!$B$17:$B$5000,$A6,Investments!$A$17:$A$5000,C$5)</f>
        <v>0</v>
      </c>
      <c r="D6" s="23">
        <f>SUMIFS(Investments!$F$17:$F$5000,Investments!$B$17:$B$5000,$A6,Investments!$A$17:$A$5000,D$5)</f>
        <v>0</v>
      </c>
      <c r="E6" s="23">
        <f>SUMIFS(Investments!$F$17:$F$5000,Investments!$B$17:$B$5000,$A6,Investments!$A$17:$A$5000,E$5)</f>
        <v>0</v>
      </c>
      <c r="F6" s="23">
        <f>SUMIFS(Investments!$F$17:$F$5000,Investments!$B$17:$B$5000,$A6,Investments!$A$17:$A$5000,F$5)</f>
        <v>0</v>
      </c>
      <c r="G6" s="23">
        <f>SUMIFS(Investments!$F$17:$F$5000,Investments!$B$17:$B$5000,$A6,Investments!$A$17:$A$5000,G$5)</f>
        <v>0</v>
      </c>
      <c r="H6" s="23">
        <f>SUMIFS(Investments!$F$17:$F$5000,Investments!$B$17:$B$5000,$A6,Investments!$A$17:$A$5000,H$5)</f>
        <v>0</v>
      </c>
      <c r="I6" s="23">
        <f>SUMIFS(Investments!$F$17:$F$5000,Investments!$B$17:$B$5000,$A6,Investments!$A$17:$A$5000,I$5)</f>
        <v>0</v>
      </c>
      <c r="J6" s="23">
        <f>SUMIFS(Investments!$F$17:$F$5000,Investments!$B$17:$B$5000,$A6,Investments!$A$17:$A$5000,J$5)</f>
        <v>0</v>
      </c>
      <c r="K6" s="23">
        <f>SUMIFS(Investments!$F$17:$F$5000,Investments!$B$17:$B$5000,$A6,Investments!$A$17:$A$5000,K$5)</f>
        <v>0</v>
      </c>
      <c r="L6" s="23">
        <f>SUMIFS(Investments!$F$17:$F$5000,Investments!$B$17:$B$5000,$A6,Investments!$A$17:$A$5000,L$5)</f>
        <v>0</v>
      </c>
      <c r="M6" s="23">
        <f>SUMIFS(Investments!$F$17:$F$5000,Investments!$B$17:$B$5000,$A6,Investments!$A$17:$A$5000,M$5)</f>
        <v>0</v>
      </c>
    </row>
    <row r="7" ht="15.0" customHeight="1">
      <c r="A7" s="19" t="s">
        <v>38</v>
      </c>
      <c r="B7" s="23">
        <f>SUMIFS(Investments!$F$17:$F$5000,Investments!$B$17:$B$5000,$A7,Investments!$A$17:$A$5000,B$5)</f>
        <v>0</v>
      </c>
      <c r="C7" s="23">
        <f>SUMIFS(Investments!$F$17:$F$5000,Investments!$B$17:$B$5000,$A7,Investments!$A$17:$A$5000,C$5)</f>
        <v>0</v>
      </c>
      <c r="D7" s="23">
        <f>SUMIFS(Investments!$F$17:$F$5000,Investments!$B$17:$B$5000,$A7,Investments!$A$17:$A$5000,D$5)</f>
        <v>0</v>
      </c>
      <c r="E7" s="23">
        <f>SUMIFS(Investments!$F$17:$F$5000,Investments!$B$17:$B$5000,$A7,Investments!$A$17:$A$5000,E$5)</f>
        <v>0</v>
      </c>
      <c r="F7" s="23">
        <f>SUMIFS(Investments!$F$17:$F$5000,Investments!$B$17:$B$5000,$A7,Investments!$A$17:$A$5000,F$5)</f>
        <v>0</v>
      </c>
      <c r="G7" s="23">
        <f>SUMIFS(Investments!$F$17:$F$5000,Investments!$B$17:$B$5000,$A7,Investments!$A$17:$A$5000,G$5)</f>
        <v>0</v>
      </c>
      <c r="H7" s="23">
        <f>SUMIFS(Investments!$F$17:$F$5000,Investments!$B$17:$B$5000,$A7,Investments!$A$17:$A$5000,H$5)</f>
        <v>0</v>
      </c>
      <c r="I7" s="23">
        <f>SUMIFS(Investments!$F$17:$F$5000,Investments!$B$17:$B$5000,$A7,Investments!$A$17:$A$5000,I$5)</f>
        <v>0</v>
      </c>
      <c r="J7" s="23">
        <f>SUMIFS(Investments!$F$17:$F$5000,Investments!$B$17:$B$5000,$A7,Investments!$A$17:$A$5000,J$5)</f>
        <v>0</v>
      </c>
      <c r="K7" s="23">
        <f>SUMIFS(Investments!$F$17:$F$5000,Investments!$B$17:$B$5000,$A7,Investments!$A$17:$A$5000,K$5)</f>
        <v>0</v>
      </c>
      <c r="L7" s="23">
        <f>SUMIFS(Investments!$F$17:$F$5000,Investments!$B$17:$B$5000,$A7,Investments!$A$17:$A$5000,L$5)</f>
        <v>0</v>
      </c>
      <c r="M7" s="23">
        <f>SUMIFS(Investments!$F$17:$F$5000,Investments!$B$17:$B$5000,$A7,Investments!$A$17:$A$5000,M$5)</f>
        <v>0</v>
      </c>
    </row>
    <row r="8" ht="15.0" customHeight="1">
      <c r="A8" s="19" t="s">
        <v>21</v>
      </c>
      <c r="B8" s="23">
        <f>SUMIFS(Investments!$F$17:$F$5000,Investments!$B$17:$B$5000,$A8,Investments!$A$17:$A$5000,B$5)</f>
        <v>0</v>
      </c>
      <c r="C8" s="23">
        <f>SUMIFS(Investments!$F$17:$F$5000,Investments!$B$17:$B$5000,$A8,Investments!$A$17:$A$5000,C$5)</f>
        <v>0</v>
      </c>
      <c r="D8" s="23">
        <f>SUMIFS(Investments!$F$17:$F$5000,Investments!$B$17:$B$5000,$A8,Investments!$A$17:$A$5000,D$5)</f>
        <v>0</v>
      </c>
      <c r="E8" s="23">
        <f>SUMIFS(Investments!$F$17:$F$5000,Investments!$B$17:$B$5000,$A8,Investments!$A$17:$A$5000,E$5)</f>
        <v>0</v>
      </c>
      <c r="F8" s="23">
        <f>SUMIFS(Investments!$F$17:$F$5000,Investments!$B$17:$B$5000,$A8,Investments!$A$17:$A$5000,F$5)</f>
        <v>0</v>
      </c>
      <c r="G8" s="23">
        <f>SUMIFS(Investments!$F$17:$F$5000,Investments!$B$17:$B$5000,$A8,Investments!$A$17:$A$5000,G$5)</f>
        <v>0</v>
      </c>
      <c r="H8" s="23">
        <f>SUMIFS(Investments!$F$17:$F$5000,Investments!$B$17:$B$5000,$A8,Investments!$A$17:$A$5000,H$5)</f>
        <v>0</v>
      </c>
      <c r="I8" s="23">
        <f>SUMIFS(Investments!$F$17:$F$5000,Investments!$B$17:$B$5000,$A8,Investments!$A$17:$A$5000,I$5)</f>
        <v>0</v>
      </c>
      <c r="J8" s="23">
        <f>SUMIFS(Investments!$F$17:$F$5000,Investments!$B$17:$B$5000,$A8,Investments!$A$17:$A$5000,J$5)</f>
        <v>0</v>
      </c>
      <c r="K8" s="23">
        <f>SUMIFS(Investments!$F$17:$F$5000,Investments!$B$17:$B$5000,$A8,Investments!$A$17:$A$5000,K$5)</f>
        <v>0</v>
      </c>
      <c r="L8" s="23">
        <f>SUMIFS(Investments!$F$17:$F$5000,Investments!$B$17:$B$5000,$A8,Investments!$A$17:$A$5000,L$5)</f>
        <v>0</v>
      </c>
      <c r="M8" s="23">
        <f>SUMIFS(Investments!$F$17:$F$5000,Investments!$B$17:$B$5000,$A8,Investments!$A$17:$A$5000,M$5)</f>
        <v>0</v>
      </c>
    </row>
    <row r="9" ht="15.0" customHeight="1">
      <c r="A9" s="19" t="s">
        <v>39</v>
      </c>
      <c r="B9" s="23">
        <f>SUMIFS(Investments!$F$17:$F$5000,Investments!$B$17:$B$5000,$A9,Investments!$A$17:$A$5000,B$5)</f>
        <v>0</v>
      </c>
      <c r="C9" s="23">
        <f>SUMIFS(Investments!$F$17:$F$5000,Investments!$B$17:$B$5000,$A9,Investments!$A$17:$A$5000,C$5)</f>
        <v>0</v>
      </c>
      <c r="D9" s="23">
        <f>SUMIFS(Investments!$F$17:$F$5000,Investments!$B$17:$B$5000,$A9,Investments!$A$17:$A$5000,D$5)</f>
        <v>0</v>
      </c>
      <c r="E9" s="23">
        <f>SUMIFS(Investments!$F$17:$F$5000,Investments!$B$17:$B$5000,$A9,Investments!$A$17:$A$5000,E$5)</f>
        <v>0</v>
      </c>
      <c r="F9" s="23">
        <f>SUMIFS(Investments!$F$17:$F$5000,Investments!$B$17:$B$5000,$A9,Investments!$A$17:$A$5000,F$5)</f>
        <v>0</v>
      </c>
      <c r="G9" s="23">
        <f>SUMIFS(Investments!$F$17:$F$5000,Investments!$B$17:$B$5000,$A9,Investments!$A$17:$A$5000,G$5)</f>
        <v>0</v>
      </c>
      <c r="H9" s="23">
        <f>SUMIFS(Investments!$F$17:$F$5000,Investments!$B$17:$B$5000,$A9,Investments!$A$17:$A$5000,H$5)</f>
        <v>0</v>
      </c>
      <c r="I9" s="23">
        <f>SUMIFS(Investments!$F$17:$F$5000,Investments!$B$17:$B$5000,$A9,Investments!$A$17:$A$5000,I$5)</f>
        <v>0</v>
      </c>
      <c r="J9" s="23">
        <f>SUMIFS(Investments!$F$17:$F$5000,Investments!$B$17:$B$5000,$A9,Investments!$A$17:$A$5000,J$5)</f>
        <v>0</v>
      </c>
      <c r="K9" s="23">
        <f>SUMIFS(Investments!$F$17:$F$5000,Investments!$B$17:$B$5000,$A9,Investments!$A$17:$A$5000,K$5)</f>
        <v>0</v>
      </c>
      <c r="L9" s="23">
        <f>SUMIFS(Investments!$F$17:$F$5000,Investments!$B$17:$B$5000,$A9,Investments!$A$17:$A$5000,L$5)</f>
        <v>0</v>
      </c>
      <c r="M9" s="23">
        <f>SUMIFS(Investments!$F$17:$F$5000,Investments!$B$17:$B$5000,$A9,Investments!$A$17:$A$5000,M$5)</f>
        <v>0</v>
      </c>
    </row>
    <row r="10" ht="15.0" customHeight="1">
      <c r="A10" s="19" t="s">
        <v>40</v>
      </c>
      <c r="B10" s="23">
        <f>SUMIFS(Investments!$F$17:$F$5000,Investments!$B$17:$B$5000,$A10,Investments!$A$17:$A$5000,B$5)</f>
        <v>0</v>
      </c>
      <c r="C10" s="23">
        <f>SUMIFS(Investments!$F$17:$F$5000,Investments!$B$17:$B$5000,$A10,Investments!$A$17:$A$5000,C$5)</f>
        <v>0</v>
      </c>
      <c r="D10" s="23">
        <f>SUMIFS(Investments!$F$17:$F$5000,Investments!$B$17:$B$5000,$A10,Investments!$A$17:$A$5000,D$5)</f>
        <v>0</v>
      </c>
      <c r="E10" s="23">
        <f>SUMIFS(Investments!$F$17:$F$5000,Investments!$B$17:$B$5000,$A10,Investments!$A$17:$A$5000,E$5)</f>
        <v>0</v>
      </c>
      <c r="F10" s="23">
        <f>SUMIFS(Investments!$F$17:$F$5000,Investments!$B$17:$B$5000,$A10,Investments!$A$17:$A$5000,F$5)</f>
        <v>0</v>
      </c>
      <c r="G10" s="23">
        <f>SUMIFS(Investments!$F$17:$F$5000,Investments!$B$17:$B$5000,$A10,Investments!$A$17:$A$5000,G$5)</f>
        <v>0</v>
      </c>
      <c r="H10" s="23">
        <f>SUMIFS(Investments!$F$17:$F$5000,Investments!$B$17:$B$5000,$A10,Investments!$A$17:$A$5000,H$5)</f>
        <v>0</v>
      </c>
      <c r="I10" s="23">
        <f>SUMIFS(Investments!$F$17:$F$5000,Investments!$B$17:$B$5000,$A10,Investments!$A$17:$A$5000,I$5)</f>
        <v>0</v>
      </c>
      <c r="J10" s="23">
        <f>SUMIFS(Investments!$F$17:$F$5000,Investments!$B$17:$B$5000,$A10,Investments!$A$17:$A$5000,J$5)</f>
        <v>0</v>
      </c>
      <c r="K10" s="23">
        <f>SUMIFS(Investments!$F$17:$F$5000,Investments!$B$17:$B$5000,$A10,Investments!$A$17:$A$5000,K$5)</f>
        <v>0</v>
      </c>
      <c r="L10" s="23">
        <f>SUMIFS(Investments!$F$17:$F$5000,Investments!$B$17:$B$5000,$A10,Investments!$A$17:$A$5000,L$5)</f>
        <v>0</v>
      </c>
      <c r="M10" s="23">
        <f>SUMIFS(Investments!$F$17:$F$5000,Investments!$B$17:$B$5000,$A10,Investments!$A$17:$A$5000,M$5)</f>
        <v>0</v>
      </c>
    </row>
    <row r="11" ht="15.0" customHeight="1">
      <c r="A11" s="19" t="s">
        <v>24</v>
      </c>
      <c r="B11" s="23">
        <f>SUMIFS(Investments!$F$17:$F$5000,Investments!$B$17:$B$5000,$A11,Investments!$A$17:$A$5000,B$5)</f>
        <v>0</v>
      </c>
      <c r="C11" s="23">
        <f>SUMIFS(Investments!$F$17:$F$5000,Investments!$B$17:$B$5000,$A11,Investments!$A$17:$A$5000,C$5)</f>
        <v>0</v>
      </c>
      <c r="D11" s="23">
        <f>SUMIFS(Investments!$F$17:$F$5000,Investments!$B$17:$B$5000,$A11,Investments!$A$17:$A$5000,D$5)</f>
        <v>0</v>
      </c>
      <c r="E11" s="23">
        <f>SUMIFS(Investments!$F$17:$F$5000,Investments!$B$17:$B$5000,$A11,Investments!$A$17:$A$5000,E$5)</f>
        <v>0</v>
      </c>
      <c r="F11" s="23">
        <f>SUMIFS(Investments!$F$17:$F$5000,Investments!$B$17:$B$5000,$A11,Investments!$A$17:$A$5000,F$5)</f>
        <v>0</v>
      </c>
      <c r="G11" s="23">
        <f>SUMIFS(Investments!$F$17:$F$5000,Investments!$B$17:$B$5000,$A11,Investments!$A$17:$A$5000,G$5)</f>
        <v>0</v>
      </c>
      <c r="H11" s="23">
        <f>SUMIFS(Investments!$F$17:$F$5000,Investments!$B$17:$B$5000,$A11,Investments!$A$17:$A$5000,H$5)</f>
        <v>0</v>
      </c>
      <c r="I11" s="23">
        <f>SUMIFS(Investments!$F$17:$F$5000,Investments!$B$17:$B$5000,$A11,Investments!$A$17:$A$5000,I$5)</f>
        <v>0</v>
      </c>
      <c r="J11" s="23">
        <f>SUMIFS(Investments!$F$17:$F$5000,Investments!$B$17:$B$5000,$A11,Investments!$A$17:$A$5000,J$5)</f>
        <v>0</v>
      </c>
      <c r="K11" s="23">
        <f>SUMIFS(Investments!$F$17:$F$5000,Investments!$B$17:$B$5000,$A11,Investments!$A$17:$A$5000,K$5)</f>
        <v>0</v>
      </c>
      <c r="L11" s="23">
        <f>SUMIFS(Investments!$F$17:$F$5000,Investments!$B$17:$B$5000,$A11,Investments!$A$17:$A$5000,L$5)</f>
        <v>0</v>
      </c>
      <c r="M11" s="23">
        <f>SUMIFS(Investments!$F$17:$F$5000,Investments!$B$17:$B$5000,$A11,Investments!$A$17:$A$5000,M$5)</f>
        <v>0</v>
      </c>
    </row>
    <row r="12" ht="15.0" customHeight="1">
      <c r="A12" s="19" t="s">
        <v>41</v>
      </c>
      <c r="B12" s="23">
        <f>SUMIFS(Investments!$F$17:$F$5000,Investments!$B$17:$B$5000,$A12,Investments!$A$17:$A$5000,B$5)</f>
        <v>0</v>
      </c>
      <c r="C12" s="23">
        <f>SUMIFS(Investments!$F$17:$F$5000,Investments!$B$17:$B$5000,$A12,Investments!$A$17:$A$5000,C$5)</f>
        <v>0</v>
      </c>
      <c r="D12" s="23">
        <f>SUMIFS(Investments!$F$17:$F$5000,Investments!$B$17:$B$5000,$A12,Investments!$A$17:$A$5000,D$5)</f>
        <v>0</v>
      </c>
      <c r="E12" s="23">
        <f>SUMIFS(Investments!$F$17:$F$5000,Investments!$B$17:$B$5000,$A12,Investments!$A$17:$A$5000,E$5)</f>
        <v>0</v>
      </c>
      <c r="F12" s="23">
        <f>SUMIFS(Investments!$F$17:$F$5000,Investments!$B$17:$B$5000,$A12,Investments!$A$17:$A$5000,F$5)</f>
        <v>0</v>
      </c>
      <c r="G12" s="23">
        <f>SUMIFS(Investments!$F$17:$F$5000,Investments!$B$17:$B$5000,$A12,Investments!$A$17:$A$5000,G$5)</f>
        <v>0</v>
      </c>
      <c r="H12" s="23">
        <f>SUMIFS(Investments!$F$17:$F$5000,Investments!$B$17:$B$5000,$A12,Investments!$A$17:$A$5000,H$5)</f>
        <v>0</v>
      </c>
      <c r="I12" s="23">
        <f>SUMIFS(Investments!$F$17:$F$5000,Investments!$B$17:$B$5000,$A12,Investments!$A$17:$A$5000,I$5)</f>
        <v>0</v>
      </c>
      <c r="J12" s="23">
        <f>SUMIFS(Investments!$F$17:$F$5000,Investments!$B$17:$B$5000,$A12,Investments!$A$17:$A$5000,J$5)</f>
        <v>0</v>
      </c>
      <c r="K12" s="23">
        <f>SUMIFS(Investments!$F$17:$F$5000,Investments!$B$17:$B$5000,$A12,Investments!$A$17:$A$5000,K$5)</f>
        <v>0</v>
      </c>
      <c r="L12" s="23">
        <f>SUMIFS(Investments!$F$17:$F$5000,Investments!$B$17:$B$5000,$A12,Investments!$A$17:$A$5000,L$5)</f>
        <v>0</v>
      </c>
      <c r="M12" s="23">
        <f>SUMIFS(Investments!$F$17:$F$5000,Investments!$B$17:$B$5000,$A12,Investments!$A$17:$A$5000,M$5)</f>
        <v>0</v>
      </c>
    </row>
    <row r="13" ht="15.0" customHeight="1">
      <c r="A13" s="19" t="s">
        <v>42</v>
      </c>
      <c r="B13" s="23">
        <f>SUMIFS(Investments!$F$17:$F$5000,Investments!$B$17:$B$5000,$A13,Investments!$A$17:$A$5000,B$5)</f>
        <v>0</v>
      </c>
      <c r="C13" s="23">
        <f>SUMIFS(Investments!$F$17:$F$5000,Investments!$B$17:$B$5000,$A13,Investments!$A$17:$A$5000,C$5)</f>
        <v>0</v>
      </c>
      <c r="D13" s="23">
        <f>SUMIFS(Investments!$F$17:$F$5000,Investments!$B$17:$B$5000,$A13,Investments!$A$17:$A$5000,D$5)</f>
        <v>0</v>
      </c>
      <c r="E13" s="23">
        <f>SUMIFS(Investments!$F$17:$F$5000,Investments!$B$17:$B$5000,$A13,Investments!$A$17:$A$5000,E$5)</f>
        <v>0</v>
      </c>
      <c r="F13" s="23">
        <f>SUMIFS(Investments!$F$17:$F$5000,Investments!$B$17:$B$5000,$A13,Investments!$A$17:$A$5000,F$5)</f>
        <v>0</v>
      </c>
      <c r="G13" s="23">
        <f>SUMIFS(Investments!$F$17:$F$5000,Investments!$B$17:$B$5000,$A13,Investments!$A$17:$A$5000,G$5)</f>
        <v>0</v>
      </c>
      <c r="H13" s="23">
        <f>SUMIFS(Investments!$F$17:$F$5000,Investments!$B$17:$B$5000,$A13,Investments!$A$17:$A$5000,H$5)</f>
        <v>0</v>
      </c>
      <c r="I13" s="23">
        <f>SUMIFS(Investments!$F$17:$F$5000,Investments!$B$17:$B$5000,$A13,Investments!$A$17:$A$5000,I$5)</f>
        <v>0</v>
      </c>
      <c r="J13" s="23">
        <f>SUMIFS(Investments!$F$17:$F$5000,Investments!$B$17:$B$5000,$A13,Investments!$A$17:$A$5000,J$5)</f>
        <v>0</v>
      </c>
      <c r="K13" s="23">
        <f>SUMIFS(Investments!$F$17:$F$5000,Investments!$B$17:$B$5000,$A13,Investments!$A$17:$A$5000,K$5)</f>
        <v>0</v>
      </c>
      <c r="L13" s="23">
        <f>SUMIFS(Investments!$F$17:$F$5000,Investments!$B$17:$B$5000,$A13,Investments!$A$17:$A$5000,L$5)</f>
        <v>0</v>
      </c>
      <c r="M13" s="23">
        <f>SUMIFS(Investments!$F$17:$F$5000,Investments!$B$17:$B$5000,$A13,Investments!$A$17:$A$5000,M$5)</f>
        <v>0</v>
      </c>
    </row>
    <row r="14" ht="15.0" customHeight="1">
      <c r="A14" s="28" t="s">
        <v>43</v>
      </c>
      <c r="B14" s="29">
        <f t="shared" ref="B14:M14" si="1">SUM(B6:B13)</f>
        <v>0</v>
      </c>
      <c r="C14" s="29">
        <f t="shared" si="1"/>
        <v>0</v>
      </c>
      <c r="D14" s="29">
        <f t="shared" si="1"/>
        <v>0</v>
      </c>
      <c r="E14" s="29">
        <f t="shared" si="1"/>
        <v>0</v>
      </c>
      <c r="F14" s="29">
        <f t="shared" si="1"/>
        <v>0</v>
      </c>
      <c r="G14" s="29">
        <f t="shared" si="1"/>
        <v>0</v>
      </c>
      <c r="H14" s="29">
        <f t="shared" si="1"/>
        <v>0</v>
      </c>
      <c r="I14" s="29">
        <f t="shared" si="1"/>
        <v>0</v>
      </c>
      <c r="J14" s="29">
        <f t="shared" si="1"/>
        <v>0</v>
      </c>
      <c r="K14" s="29">
        <f t="shared" si="1"/>
        <v>0</v>
      </c>
      <c r="L14" s="29">
        <f t="shared" si="1"/>
        <v>0</v>
      </c>
      <c r="M14" s="29">
        <f t="shared" si="1"/>
        <v>0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5.0" customHeight="1">
      <c r="A17" s="8" t="s">
        <v>44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10"/>
    </row>
    <row r="18" ht="15.0" customHeight="1">
      <c r="A18" s="26" t="s">
        <v>16</v>
      </c>
      <c r="B18" s="27">
        <v>46023.0</v>
      </c>
      <c r="C18" s="27">
        <v>46054.0</v>
      </c>
      <c r="D18" s="27">
        <v>46082.0</v>
      </c>
      <c r="E18" s="27">
        <v>46113.0</v>
      </c>
      <c r="F18" s="27">
        <v>46143.0</v>
      </c>
      <c r="G18" s="27">
        <v>46174.0</v>
      </c>
      <c r="H18" s="27">
        <v>46204.0</v>
      </c>
      <c r="I18" s="27">
        <v>46235.0</v>
      </c>
      <c r="J18" s="27">
        <v>46266.0</v>
      </c>
      <c r="K18" s="27">
        <v>46296.0</v>
      </c>
      <c r="L18" s="27">
        <v>46327.0</v>
      </c>
      <c r="M18" s="27">
        <v>46357.0</v>
      </c>
    </row>
    <row r="19" ht="15.0" customHeight="1">
      <c r="A19" s="19" t="s">
        <v>37</v>
      </c>
      <c r="B19" s="23">
        <f>SUMIFS(Investments!$C$17:$C$5000,Investments!$B$17:$B$5000,$A19,Investments!$A$17:$A$5000,B$18)</f>
        <v>0</v>
      </c>
      <c r="C19" s="23">
        <f>SUMIFS(Investments!$C$17:$C$5000,Investments!$B$17:$B$5000,$A19,Investments!$A$17:$A$5000,C$18)</f>
        <v>0</v>
      </c>
      <c r="D19" s="23">
        <f>SUMIFS(Investments!$C$17:$C$5000,Investments!$B$17:$B$5000,$A19,Investments!$A$17:$A$5000,D$18)</f>
        <v>0</v>
      </c>
      <c r="E19" s="23">
        <f>SUMIFS(Investments!$C$17:$C$5000,Investments!$B$17:$B$5000,$A19,Investments!$A$17:$A$5000,E$18)</f>
        <v>0</v>
      </c>
      <c r="F19" s="23">
        <f>SUMIFS(Investments!$C$17:$C$5000,Investments!$B$17:$B$5000,$A19,Investments!$A$17:$A$5000,F$18)</f>
        <v>0</v>
      </c>
      <c r="G19" s="23">
        <f>SUMIFS(Investments!$C$17:$C$5000,Investments!$B$17:$B$5000,$A19,Investments!$A$17:$A$5000,G$18)</f>
        <v>0</v>
      </c>
      <c r="H19" s="23">
        <f>SUMIFS(Investments!$C$17:$C$5000,Investments!$B$17:$B$5000,$A19,Investments!$A$17:$A$5000,H$18)</f>
        <v>0</v>
      </c>
      <c r="I19" s="23">
        <f>SUMIFS(Investments!$C$17:$C$5000,Investments!$B$17:$B$5000,$A19,Investments!$A$17:$A$5000,I$18)</f>
        <v>0</v>
      </c>
      <c r="J19" s="23">
        <f>SUMIFS(Investments!$C$17:$C$5000,Investments!$B$17:$B$5000,$A19,Investments!$A$17:$A$5000,J$18)</f>
        <v>0</v>
      </c>
      <c r="K19" s="23">
        <f>SUMIFS(Investments!$C$17:$C$5000,Investments!$B$17:$B$5000,$A19,Investments!$A$17:$A$5000,K$18)</f>
        <v>0</v>
      </c>
      <c r="L19" s="23">
        <f>SUMIFS(Investments!$C$17:$C$5000,Investments!$B$17:$B$5000,$A19,Investments!$A$17:$A$5000,L$18)</f>
        <v>0</v>
      </c>
      <c r="M19" s="23">
        <f>SUMIFS(Investments!$C$17:$C$5000,Investments!$B$17:$B$5000,$A19,Investments!$A$17:$A$5000,M$18)</f>
        <v>0</v>
      </c>
    </row>
    <row r="20" ht="15.0" customHeight="1">
      <c r="A20" s="19" t="s">
        <v>38</v>
      </c>
      <c r="B20" s="23">
        <f>SUMIFS(Investments!$C$17:$C$5000,Investments!$B$17:$B$5000,$A20,Investments!$A$17:$A$5000,B$18)</f>
        <v>0</v>
      </c>
      <c r="C20" s="23">
        <f>SUMIFS(Investments!$C$17:$C$5000,Investments!$B$17:$B$5000,$A20,Investments!$A$17:$A$5000,C$18)</f>
        <v>0</v>
      </c>
      <c r="D20" s="23">
        <f>SUMIFS(Investments!$C$17:$C$5000,Investments!$B$17:$B$5000,$A20,Investments!$A$17:$A$5000,D$18)</f>
        <v>0</v>
      </c>
      <c r="E20" s="23">
        <f>SUMIFS(Investments!$C$17:$C$5000,Investments!$B$17:$B$5000,$A20,Investments!$A$17:$A$5000,E$18)</f>
        <v>0</v>
      </c>
      <c r="F20" s="23">
        <f>SUMIFS(Investments!$C$17:$C$5000,Investments!$B$17:$B$5000,$A20,Investments!$A$17:$A$5000,F$18)</f>
        <v>0</v>
      </c>
      <c r="G20" s="23">
        <f>SUMIFS(Investments!$C$17:$C$5000,Investments!$B$17:$B$5000,$A20,Investments!$A$17:$A$5000,G$18)</f>
        <v>0</v>
      </c>
      <c r="H20" s="23">
        <f>SUMIFS(Investments!$C$17:$C$5000,Investments!$B$17:$B$5000,$A20,Investments!$A$17:$A$5000,H$18)</f>
        <v>0</v>
      </c>
      <c r="I20" s="23">
        <f>SUMIFS(Investments!$C$17:$C$5000,Investments!$B$17:$B$5000,$A20,Investments!$A$17:$A$5000,I$18)</f>
        <v>0</v>
      </c>
      <c r="J20" s="23">
        <f>SUMIFS(Investments!$C$17:$C$5000,Investments!$B$17:$B$5000,$A20,Investments!$A$17:$A$5000,J$18)</f>
        <v>0</v>
      </c>
      <c r="K20" s="23">
        <f>SUMIFS(Investments!$C$17:$C$5000,Investments!$B$17:$B$5000,$A20,Investments!$A$17:$A$5000,K$18)</f>
        <v>0</v>
      </c>
      <c r="L20" s="23">
        <f>SUMIFS(Investments!$C$17:$C$5000,Investments!$B$17:$B$5000,$A20,Investments!$A$17:$A$5000,L$18)</f>
        <v>0</v>
      </c>
      <c r="M20" s="23">
        <f>SUMIFS(Investments!$C$17:$C$5000,Investments!$B$17:$B$5000,$A20,Investments!$A$17:$A$5000,M$18)</f>
        <v>0</v>
      </c>
    </row>
    <row r="21" ht="15.0" customHeight="1">
      <c r="A21" s="19" t="s">
        <v>21</v>
      </c>
      <c r="B21" s="23">
        <f>SUMIFS(Investments!$C$17:$C$5000,Investments!$B$17:$B$5000,$A21,Investments!$A$17:$A$5000,B$18)</f>
        <v>0</v>
      </c>
      <c r="C21" s="23">
        <f>SUMIFS(Investments!$C$17:$C$5000,Investments!$B$17:$B$5000,$A21,Investments!$A$17:$A$5000,C$18)</f>
        <v>0</v>
      </c>
      <c r="D21" s="23">
        <f>SUMIFS(Investments!$C$17:$C$5000,Investments!$B$17:$B$5000,$A21,Investments!$A$17:$A$5000,D$18)</f>
        <v>0</v>
      </c>
      <c r="E21" s="23">
        <f>SUMIFS(Investments!$C$17:$C$5000,Investments!$B$17:$B$5000,$A21,Investments!$A$17:$A$5000,E$18)</f>
        <v>0</v>
      </c>
      <c r="F21" s="23">
        <f>SUMIFS(Investments!$C$17:$C$5000,Investments!$B$17:$B$5000,$A21,Investments!$A$17:$A$5000,F$18)</f>
        <v>0</v>
      </c>
      <c r="G21" s="23">
        <f>SUMIFS(Investments!$C$17:$C$5000,Investments!$B$17:$B$5000,$A21,Investments!$A$17:$A$5000,G$18)</f>
        <v>0</v>
      </c>
      <c r="H21" s="23">
        <f>SUMIFS(Investments!$C$17:$C$5000,Investments!$B$17:$B$5000,$A21,Investments!$A$17:$A$5000,H$18)</f>
        <v>0</v>
      </c>
      <c r="I21" s="23">
        <f>SUMIFS(Investments!$C$17:$C$5000,Investments!$B$17:$B$5000,$A21,Investments!$A$17:$A$5000,I$18)</f>
        <v>0</v>
      </c>
      <c r="J21" s="23">
        <f>SUMIFS(Investments!$C$17:$C$5000,Investments!$B$17:$B$5000,$A21,Investments!$A$17:$A$5000,J$18)</f>
        <v>0</v>
      </c>
      <c r="K21" s="23">
        <f>SUMIFS(Investments!$C$17:$C$5000,Investments!$B$17:$B$5000,$A21,Investments!$A$17:$A$5000,K$18)</f>
        <v>0</v>
      </c>
      <c r="L21" s="23">
        <f>SUMIFS(Investments!$C$17:$C$5000,Investments!$B$17:$B$5000,$A21,Investments!$A$17:$A$5000,L$18)</f>
        <v>0</v>
      </c>
      <c r="M21" s="23">
        <f>SUMIFS(Investments!$C$17:$C$5000,Investments!$B$17:$B$5000,$A21,Investments!$A$17:$A$5000,M$18)</f>
        <v>0</v>
      </c>
    </row>
    <row r="22" ht="15.0" customHeight="1">
      <c r="A22" s="19" t="s">
        <v>39</v>
      </c>
      <c r="B22" s="23">
        <f>SUMIFS(Investments!$C$17:$C$5000,Investments!$B$17:$B$5000,$A22,Investments!$A$17:$A$5000,B$18)</f>
        <v>0</v>
      </c>
      <c r="C22" s="23">
        <f>SUMIFS(Investments!$C$17:$C$5000,Investments!$B$17:$B$5000,$A22,Investments!$A$17:$A$5000,C$18)</f>
        <v>0</v>
      </c>
      <c r="D22" s="23">
        <f>SUMIFS(Investments!$C$17:$C$5000,Investments!$B$17:$B$5000,$A22,Investments!$A$17:$A$5000,D$18)</f>
        <v>0</v>
      </c>
      <c r="E22" s="23">
        <f>SUMIFS(Investments!$C$17:$C$5000,Investments!$B$17:$B$5000,$A22,Investments!$A$17:$A$5000,E$18)</f>
        <v>0</v>
      </c>
      <c r="F22" s="23">
        <f>SUMIFS(Investments!$C$17:$C$5000,Investments!$B$17:$B$5000,$A22,Investments!$A$17:$A$5000,F$18)</f>
        <v>0</v>
      </c>
      <c r="G22" s="23">
        <f>SUMIFS(Investments!$C$17:$C$5000,Investments!$B$17:$B$5000,$A22,Investments!$A$17:$A$5000,G$18)</f>
        <v>0</v>
      </c>
      <c r="H22" s="23">
        <f>SUMIFS(Investments!$C$17:$C$5000,Investments!$B$17:$B$5000,$A22,Investments!$A$17:$A$5000,H$18)</f>
        <v>0</v>
      </c>
      <c r="I22" s="23">
        <f>SUMIFS(Investments!$C$17:$C$5000,Investments!$B$17:$B$5000,$A22,Investments!$A$17:$A$5000,I$18)</f>
        <v>0</v>
      </c>
      <c r="J22" s="23">
        <f>SUMIFS(Investments!$C$17:$C$5000,Investments!$B$17:$B$5000,$A22,Investments!$A$17:$A$5000,J$18)</f>
        <v>0</v>
      </c>
      <c r="K22" s="23">
        <f>SUMIFS(Investments!$C$17:$C$5000,Investments!$B$17:$B$5000,$A22,Investments!$A$17:$A$5000,K$18)</f>
        <v>0</v>
      </c>
      <c r="L22" s="23">
        <f>SUMIFS(Investments!$C$17:$C$5000,Investments!$B$17:$B$5000,$A22,Investments!$A$17:$A$5000,L$18)</f>
        <v>0</v>
      </c>
      <c r="M22" s="23">
        <f>SUMIFS(Investments!$C$17:$C$5000,Investments!$B$17:$B$5000,$A22,Investments!$A$17:$A$5000,M$18)</f>
        <v>0</v>
      </c>
    </row>
    <row r="23" ht="15.0" customHeight="1">
      <c r="A23" s="19" t="s">
        <v>40</v>
      </c>
      <c r="B23" s="23">
        <f>SUMIFS(Investments!$C$17:$C$5000,Investments!$B$17:$B$5000,$A23,Investments!$A$17:$A$5000,B$18)</f>
        <v>0</v>
      </c>
      <c r="C23" s="23">
        <f>SUMIFS(Investments!$C$17:$C$5000,Investments!$B$17:$B$5000,$A23,Investments!$A$17:$A$5000,C$18)</f>
        <v>0</v>
      </c>
      <c r="D23" s="23">
        <f>SUMIFS(Investments!$C$17:$C$5000,Investments!$B$17:$B$5000,$A23,Investments!$A$17:$A$5000,D$18)</f>
        <v>0</v>
      </c>
      <c r="E23" s="23">
        <f>SUMIFS(Investments!$C$17:$C$5000,Investments!$B$17:$B$5000,$A23,Investments!$A$17:$A$5000,E$18)</f>
        <v>0</v>
      </c>
      <c r="F23" s="23">
        <f>SUMIFS(Investments!$C$17:$C$5000,Investments!$B$17:$B$5000,$A23,Investments!$A$17:$A$5000,F$18)</f>
        <v>0</v>
      </c>
      <c r="G23" s="23">
        <f>SUMIFS(Investments!$C$17:$C$5000,Investments!$B$17:$B$5000,$A23,Investments!$A$17:$A$5000,G$18)</f>
        <v>0</v>
      </c>
      <c r="H23" s="23">
        <f>SUMIFS(Investments!$C$17:$C$5000,Investments!$B$17:$B$5000,$A23,Investments!$A$17:$A$5000,H$18)</f>
        <v>0</v>
      </c>
      <c r="I23" s="23">
        <f>SUMIFS(Investments!$C$17:$C$5000,Investments!$B$17:$B$5000,$A23,Investments!$A$17:$A$5000,I$18)</f>
        <v>0</v>
      </c>
      <c r="J23" s="23">
        <f>SUMIFS(Investments!$C$17:$C$5000,Investments!$B$17:$B$5000,$A23,Investments!$A$17:$A$5000,J$18)</f>
        <v>0</v>
      </c>
      <c r="K23" s="23">
        <f>SUMIFS(Investments!$C$17:$C$5000,Investments!$B$17:$B$5000,$A23,Investments!$A$17:$A$5000,K$18)</f>
        <v>0</v>
      </c>
      <c r="L23" s="23">
        <f>SUMIFS(Investments!$C$17:$C$5000,Investments!$B$17:$B$5000,$A23,Investments!$A$17:$A$5000,L$18)</f>
        <v>0</v>
      </c>
      <c r="M23" s="23">
        <f>SUMIFS(Investments!$C$17:$C$5000,Investments!$B$17:$B$5000,$A23,Investments!$A$17:$A$5000,M$18)</f>
        <v>0</v>
      </c>
    </row>
    <row r="24" ht="15.0" customHeight="1">
      <c r="A24" s="19" t="s">
        <v>24</v>
      </c>
      <c r="B24" s="23">
        <f>SUMIFS(Investments!$C$17:$C$5000,Investments!$B$17:$B$5000,$A24,Investments!$A$17:$A$5000,B$18)</f>
        <v>0</v>
      </c>
      <c r="C24" s="23">
        <f>SUMIFS(Investments!$C$17:$C$5000,Investments!$B$17:$B$5000,$A24,Investments!$A$17:$A$5000,C$18)</f>
        <v>0</v>
      </c>
      <c r="D24" s="23">
        <f>SUMIFS(Investments!$C$17:$C$5000,Investments!$B$17:$B$5000,$A24,Investments!$A$17:$A$5000,D$18)</f>
        <v>0</v>
      </c>
      <c r="E24" s="23">
        <f>SUMIFS(Investments!$C$17:$C$5000,Investments!$B$17:$B$5000,$A24,Investments!$A$17:$A$5000,E$18)</f>
        <v>0</v>
      </c>
      <c r="F24" s="23">
        <f>SUMIFS(Investments!$C$17:$C$5000,Investments!$B$17:$B$5000,$A24,Investments!$A$17:$A$5000,F$18)</f>
        <v>0</v>
      </c>
      <c r="G24" s="23">
        <f>SUMIFS(Investments!$C$17:$C$5000,Investments!$B$17:$B$5000,$A24,Investments!$A$17:$A$5000,G$18)</f>
        <v>0</v>
      </c>
      <c r="H24" s="23">
        <f>SUMIFS(Investments!$C$17:$C$5000,Investments!$B$17:$B$5000,$A24,Investments!$A$17:$A$5000,H$18)</f>
        <v>0</v>
      </c>
      <c r="I24" s="23">
        <f>SUMIFS(Investments!$C$17:$C$5000,Investments!$B$17:$B$5000,$A24,Investments!$A$17:$A$5000,I$18)</f>
        <v>0</v>
      </c>
      <c r="J24" s="23">
        <f>SUMIFS(Investments!$C$17:$C$5000,Investments!$B$17:$B$5000,$A24,Investments!$A$17:$A$5000,J$18)</f>
        <v>0</v>
      </c>
      <c r="K24" s="23">
        <f>SUMIFS(Investments!$C$17:$C$5000,Investments!$B$17:$B$5000,$A24,Investments!$A$17:$A$5000,K$18)</f>
        <v>0</v>
      </c>
      <c r="L24" s="23">
        <f>SUMIFS(Investments!$C$17:$C$5000,Investments!$B$17:$B$5000,$A24,Investments!$A$17:$A$5000,L$18)</f>
        <v>0</v>
      </c>
      <c r="M24" s="23">
        <f>SUMIFS(Investments!$C$17:$C$5000,Investments!$B$17:$B$5000,$A24,Investments!$A$17:$A$5000,M$18)</f>
        <v>0</v>
      </c>
    </row>
    <row r="25" ht="15.0" customHeight="1">
      <c r="A25" s="19" t="s">
        <v>41</v>
      </c>
      <c r="B25" s="23">
        <f>SUMIFS(Investments!$C$17:$C$5000,Investments!$B$17:$B$5000,$A25,Investments!$A$17:$A$5000,B$18)</f>
        <v>0</v>
      </c>
      <c r="C25" s="23">
        <f>SUMIFS(Investments!$C$17:$C$5000,Investments!$B$17:$B$5000,$A25,Investments!$A$17:$A$5000,C$18)</f>
        <v>0</v>
      </c>
      <c r="D25" s="23">
        <f>SUMIFS(Investments!$C$17:$C$5000,Investments!$B$17:$B$5000,$A25,Investments!$A$17:$A$5000,D$18)</f>
        <v>0</v>
      </c>
      <c r="E25" s="23">
        <f>SUMIFS(Investments!$C$17:$C$5000,Investments!$B$17:$B$5000,$A25,Investments!$A$17:$A$5000,E$18)</f>
        <v>0</v>
      </c>
      <c r="F25" s="23">
        <f>SUMIFS(Investments!$C$17:$C$5000,Investments!$B$17:$B$5000,$A25,Investments!$A$17:$A$5000,F$18)</f>
        <v>0</v>
      </c>
      <c r="G25" s="23">
        <f>SUMIFS(Investments!$C$17:$C$5000,Investments!$B$17:$B$5000,$A25,Investments!$A$17:$A$5000,G$18)</f>
        <v>0</v>
      </c>
      <c r="H25" s="23">
        <f>SUMIFS(Investments!$C$17:$C$5000,Investments!$B$17:$B$5000,$A25,Investments!$A$17:$A$5000,H$18)</f>
        <v>0</v>
      </c>
      <c r="I25" s="23">
        <f>SUMIFS(Investments!$C$17:$C$5000,Investments!$B$17:$B$5000,$A25,Investments!$A$17:$A$5000,I$18)</f>
        <v>0</v>
      </c>
      <c r="J25" s="23">
        <f>SUMIFS(Investments!$C$17:$C$5000,Investments!$B$17:$B$5000,$A25,Investments!$A$17:$A$5000,J$18)</f>
        <v>0</v>
      </c>
      <c r="K25" s="23">
        <f>SUMIFS(Investments!$C$17:$C$5000,Investments!$B$17:$B$5000,$A25,Investments!$A$17:$A$5000,K$18)</f>
        <v>0</v>
      </c>
      <c r="L25" s="23">
        <f>SUMIFS(Investments!$C$17:$C$5000,Investments!$B$17:$B$5000,$A25,Investments!$A$17:$A$5000,L$18)</f>
        <v>0</v>
      </c>
      <c r="M25" s="23">
        <f>SUMIFS(Investments!$C$17:$C$5000,Investments!$B$17:$B$5000,$A25,Investments!$A$17:$A$5000,M$18)</f>
        <v>0</v>
      </c>
    </row>
    <row r="26" ht="15.0" customHeight="1">
      <c r="A26" s="19" t="s">
        <v>42</v>
      </c>
      <c r="B26" s="23">
        <f>SUMIFS(Investments!$C$17:$C$5000,Investments!$B$17:$B$5000,$A26,Investments!$A$17:$A$5000,B$18)</f>
        <v>0</v>
      </c>
      <c r="C26" s="23">
        <f>SUMIFS(Investments!$C$17:$C$5000,Investments!$B$17:$B$5000,$A26,Investments!$A$17:$A$5000,C$18)</f>
        <v>0</v>
      </c>
      <c r="D26" s="23">
        <f>SUMIFS(Investments!$C$17:$C$5000,Investments!$B$17:$B$5000,$A26,Investments!$A$17:$A$5000,D$18)</f>
        <v>0</v>
      </c>
      <c r="E26" s="23">
        <f>SUMIFS(Investments!$C$17:$C$5000,Investments!$B$17:$B$5000,$A26,Investments!$A$17:$A$5000,E$18)</f>
        <v>0</v>
      </c>
      <c r="F26" s="23">
        <f>SUMIFS(Investments!$C$17:$C$5000,Investments!$B$17:$B$5000,$A26,Investments!$A$17:$A$5000,F$18)</f>
        <v>0</v>
      </c>
      <c r="G26" s="23">
        <f>SUMIFS(Investments!$C$17:$C$5000,Investments!$B$17:$B$5000,$A26,Investments!$A$17:$A$5000,G$18)</f>
        <v>0</v>
      </c>
      <c r="H26" s="23">
        <f>SUMIFS(Investments!$C$17:$C$5000,Investments!$B$17:$B$5000,$A26,Investments!$A$17:$A$5000,H$18)</f>
        <v>0</v>
      </c>
      <c r="I26" s="23">
        <f>SUMIFS(Investments!$C$17:$C$5000,Investments!$B$17:$B$5000,$A26,Investments!$A$17:$A$5000,I$18)</f>
        <v>0</v>
      </c>
      <c r="J26" s="23">
        <f>SUMIFS(Investments!$C$17:$C$5000,Investments!$B$17:$B$5000,$A26,Investments!$A$17:$A$5000,J$18)</f>
        <v>0</v>
      </c>
      <c r="K26" s="23">
        <f>SUMIFS(Investments!$C$17:$C$5000,Investments!$B$17:$B$5000,$A26,Investments!$A$17:$A$5000,K$18)</f>
        <v>0</v>
      </c>
      <c r="L26" s="23">
        <f>SUMIFS(Investments!$C$17:$C$5000,Investments!$B$17:$B$5000,$A26,Investments!$A$17:$A$5000,L$18)</f>
        <v>0</v>
      </c>
      <c r="M26" s="23">
        <f>SUMIFS(Investments!$C$17:$C$5000,Investments!$B$17:$B$5000,$A26,Investments!$A$17:$A$5000,M$18)</f>
        <v>0</v>
      </c>
    </row>
    <row r="27" ht="15.0" customHeight="1">
      <c r="A27" s="28" t="s">
        <v>45</v>
      </c>
      <c r="B27" s="29">
        <f t="shared" ref="B27:M27" si="2">SUM(B19:B26)</f>
        <v>0</v>
      </c>
      <c r="C27" s="29">
        <f t="shared" si="2"/>
        <v>0</v>
      </c>
      <c r="D27" s="29">
        <f t="shared" si="2"/>
        <v>0</v>
      </c>
      <c r="E27" s="29">
        <f t="shared" si="2"/>
        <v>0</v>
      </c>
      <c r="F27" s="29">
        <f t="shared" si="2"/>
        <v>0</v>
      </c>
      <c r="G27" s="29">
        <f t="shared" si="2"/>
        <v>0</v>
      </c>
      <c r="H27" s="29">
        <f t="shared" si="2"/>
        <v>0</v>
      </c>
      <c r="I27" s="29">
        <f t="shared" si="2"/>
        <v>0</v>
      </c>
      <c r="J27" s="29">
        <f t="shared" si="2"/>
        <v>0</v>
      </c>
      <c r="K27" s="29">
        <f t="shared" si="2"/>
        <v>0</v>
      </c>
      <c r="L27" s="29">
        <f t="shared" si="2"/>
        <v>0</v>
      </c>
      <c r="M27" s="29">
        <f t="shared" si="2"/>
        <v>0</v>
      </c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0" customHeight="1">
      <c r="A66" s="8" t="s">
        <v>46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10"/>
    </row>
    <row r="67" ht="15.0" customHeight="1">
      <c r="A67" s="26" t="s">
        <v>47</v>
      </c>
      <c r="B67" s="27">
        <v>46023.0</v>
      </c>
      <c r="C67" s="27">
        <v>46054.0</v>
      </c>
      <c r="D67" s="27">
        <v>46082.0</v>
      </c>
      <c r="E67" s="27">
        <v>46113.0</v>
      </c>
      <c r="F67" s="27">
        <v>46143.0</v>
      </c>
      <c r="G67" s="27">
        <v>46174.0</v>
      </c>
      <c r="H67" s="27">
        <v>46204.0</v>
      </c>
      <c r="I67" s="27">
        <v>46235.0</v>
      </c>
      <c r="J67" s="27">
        <v>46266.0</v>
      </c>
      <c r="K67" s="27">
        <v>46296.0</v>
      </c>
      <c r="L67" s="27">
        <v>46327.0</v>
      </c>
      <c r="M67" s="27">
        <v>46357.0</v>
      </c>
    </row>
    <row r="68" ht="15.0" customHeight="1">
      <c r="A68" s="19" t="s">
        <v>48</v>
      </c>
      <c r="B68" s="23">
        <f>SUMIFS(Expenses!$C$5:$C$504,Expenses!$D$5:$D$504,$A68,Expenses!$A$5:$A$504,"&gt;="&amp;B$67,Expenses!$A$5:$A$504,"&lt;"&amp;EDATE(B$67,1))</f>
        <v>0</v>
      </c>
      <c r="C68" s="23">
        <f>SUMIFS(Expenses!$C$5:$C$504,Expenses!$D$5:$D$504,$A68,Expenses!$A$5:$A$504,"&gt;="&amp;C$67,Expenses!$A$5:$A$504,"&lt;"&amp;EDATE(C$67,1))</f>
        <v>0</v>
      </c>
      <c r="D68" s="23">
        <f>SUMIFS(Expenses!$C$5:$C$504,Expenses!$D$5:$D$504,$A68,Expenses!$A$5:$A$504,"&gt;="&amp;D$67,Expenses!$A$5:$A$504,"&lt;"&amp;EDATE(D$67,1))</f>
        <v>0</v>
      </c>
      <c r="E68" s="23">
        <f>SUMIFS(Expenses!$C$5:$C$504,Expenses!$D$5:$D$504,$A68,Expenses!$A$5:$A$504,"&gt;="&amp;E$67,Expenses!$A$5:$A$504,"&lt;"&amp;EDATE(E$67,1))</f>
        <v>0</v>
      </c>
      <c r="F68" s="23">
        <f>SUMIFS(Expenses!$C$5:$C$504,Expenses!$D$5:$D$504,$A68,Expenses!$A$5:$A$504,"&gt;="&amp;F$67,Expenses!$A$5:$A$504,"&lt;"&amp;EDATE(F$67,1))</f>
        <v>0</v>
      </c>
      <c r="G68" s="23">
        <f>SUMIFS(Expenses!$C$5:$C$504,Expenses!$D$5:$D$504,$A68,Expenses!$A$5:$A$504,"&gt;="&amp;G$67,Expenses!$A$5:$A$504,"&lt;"&amp;EDATE(G$67,1))</f>
        <v>0</v>
      </c>
      <c r="H68" s="23">
        <f>SUMIFS(Expenses!$C$5:$C$504,Expenses!$D$5:$D$504,$A68,Expenses!$A$5:$A$504,"&gt;="&amp;H$67,Expenses!$A$5:$A$504,"&lt;"&amp;EDATE(H$67,1))</f>
        <v>0</v>
      </c>
      <c r="I68" s="23">
        <f>SUMIFS(Expenses!$C$5:$C$504,Expenses!$D$5:$D$504,$A68,Expenses!$A$5:$A$504,"&gt;="&amp;I$67,Expenses!$A$5:$A$504,"&lt;"&amp;EDATE(I$67,1))</f>
        <v>0</v>
      </c>
      <c r="J68" s="23">
        <f>SUMIFS(Expenses!$C$5:$C$504,Expenses!$D$5:$D$504,$A68,Expenses!$A$5:$A$504,"&gt;="&amp;J$67,Expenses!$A$5:$A$504,"&lt;"&amp;EDATE(J$67,1))</f>
        <v>0</v>
      </c>
      <c r="K68" s="23">
        <f>SUMIFS(Expenses!$C$5:$C$504,Expenses!$D$5:$D$504,$A68,Expenses!$A$5:$A$504,"&gt;="&amp;K$67,Expenses!$A$5:$A$504,"&lt;"&amp;EDATE(K$67,1))</f>
        <v>0</v>
      </c>
      <c r="L68" s="23">
        <f>SUMIFS(Expenses!$C$5:$C$504,Expenses!$D$5:$D$504,$A68,Expenses!$A$5:$A$504,"&gt;="&amp;L$67,Expenses!$A$5:$A$504,"&lt;"&amp;EDATE(L$67,1))</f>
        <v>0</v>
      </c>
      <c r="M68" s="23">
        <f>SUMIFS(Expenses!$C$5:$C$504,Expenses!$D$5:$D$504,$A68,Expenses!$A$5:$A$504,"&gt;="&amp;M$67,Expenses!$A$5:$A$504,"&lt;"&amp;EDATE(M$67,1))</f>
        <v>0</v>
      </c>
    </row>
    <row r="69" ht="15.0" customHeight="1">
      <c r="A69" s="19" t="s">
        <v>27</v>
      </c>
      <c r="B69" s="23">
        <f>SUMIFS(Expenses!$C$5:$C$504,Expenses!$D$5:$D$504,$A69,Expenses!$A$5:$A$504,"&gt;="&amp;B$67,Expenses!$A$5:$A$504,"&lt;"&amp;EDATE(B$67,1))</f>
        <v>85.32</v>
      </c>
      <c r="C69" s="23">
        <f>SUMIFS(Expenses!$C$5:$C$504,Expenses!$D$5:$D$504,$A69,Expenses!$A$5:$A$504,"&gt;="&amp;C$67,Expenses!$A$5:$A$504,"&lt;"&amp;EDATE(C$67,1))</f>
        <v>0</v>
      </c>
      <c r="D69" s="23">
        <f>SUMIFS(Expenses!$C$5:$C$504,Expenses!$D$5:$D$504,$A69,Expenses!$A$5:$A$504,"&gt;="&amp;D$67,Expenses!$A$5:$A$504,"&lt;"&amp;EDATE(D$67,1))</f>
        <v>0</v>
      </c>
      <c r="E69" s="23">
        <f>SUMIFS(Expenses!$C$5:$C$504,Expenses!$D$5:$D$504,$A69,Expenses!$A$5:$A$504,"&gt;="&amp;E$67,Expenses!$A$5:$A$504,"&lt;"&amp;EDATE(E$67,1))</f>
        <v>0</v>
      </c>
      <c r="F69" s="23">
        <f>SUMIFS(Expenses!$C$5:$C$504,Expenses!$D$5:$D$504,$A69,Expenses!$A$5:$A$504,"&gt;="&amp;F$67,Expenses!$A$5:$A$504,"&lt;"&amp;EDATE(F$67,1))</f>
        <v>0</v>
      </c>
      <c r="G69" s="23">
        <f>SUMIFS(Expenses!$C$5:$C$504,Expenses!$D$5:$D$504,$A69,Expenses!$A$5:$A$504,"&gt;="&amp;G$67,Expenses!$A$5:$A$504,"&lt;"&amp;EDATE(G$67,1))</f>
        <v>0</v>
      </c>
      <c r="H69" s="23">
        <f>SUMIFS(Expenses!$C$5:$C$504,Expenses!$D$5:$D$504,$A69,Expenses!$A$5:$A$504,"&gt;="&amp;H$67,Expenses!$A$5:$A$504,"&lt;"&amp;EDATE(H$67,1))</f>
        <v>0</v>
      </c>
      <c r="I69" s="23">
        <f>SUMIFS(Expenses!$C$5:$C$504,Expenses!$D$5:$D$504,$A69,Expenses!$A$5:$A$504,"&gt;="&amp;I$67,Expenses!$A$5:$A$504,"&lt;"&amp;EDATE(I$67,1))</f>
        <v>0</v>
      </c>
      <c r="J69" s="23">
        <f>SUMIFS(Expenses!$C$5:$C$504,Expenses!$D$5:$D$504,$A69,Expenses!$A$5:$A$504,"&gt;="&amp;J$67,Expenses!$A$5:$A$504,"&lt;"&amp;EDATE(J$67,1))</f>
        <v>0</v>
      </c>
      <c r="K69" s="23">
        <f>SUMIFS(Expenses!$C$5:$C$504,Expenses!$D$5:$D$504,$A69,Expenses!$A$5:$A$504,"&gt;="&amp;K$67,Expenses!$A$5:$A$504,"&lt;"&amp;EDATE(K$67,1))</f>
        <v>0</v>
      </c>
      <c r="L69" s="23">
        <f>SUMIFS(Expenses!$C$5:$C$504,Expenses!$D$5:$D$504,$A69,Expenses!$A$5:$A$504,"&gt;="&amp;L$67,Expenses!$A$5:$A$504,"&lt;"&amp;EDATE(L$67,1))</f>
        <v>0</v>
      </c>
      <c r="M69" s="23">
        <f>SUMIFS(Expenses!$C$5:$C$504,Expenses!$D$5:$D$504,$A69,Expenses!$A$5:$A$504,"&gt;="&amp;M$67,Expenses!$A$5:$A$504,"&lt;"&amp;EDATE(M$67,1))</f>
        <v>0</v>
      </c>
    </row>
    <row r="70" ht="15.0" customHeight="1">
      <c r="A70" s="19" t="s">
        <v>49</v>
      </c>
      <c r="B70" s="23">
        <f>SUMIFS(Expenses!$C$5:$C$504,Expenses!$D$5:$D$504,$A70,Expenses!$A$5:$A$504,"&gt;="&amp;B$67,Expenses!$A$5:$A$504,"&lt;"&amp;EDATE(B$67,1))</f>
        <v>0</v>
      </c>
      <c r="C70" s="23">
        <f>SUMIFS(Expenses!$C$5:$C$504,Expenses!$D$5:$D$504,$A70,Expenses!$A$5:$A$504,"&gt;="&amp;C$67,Expenses!$A$5:$A$504,"&lt;"&amp;EDATE(C$67,1))</f>
        <v>0</v>
      </c>
      <c r="D70" s="23">
        <f>SUMIFS(Expenses!$C$5:$C$504,Expenses!$D$5:$D$504,$A70,Expenses!$A$5:$A$504,"&gt;="&amp;D$67,Expenses!$A$5:$A$504,"&lt;"&amp;EDATE(D$67,1))</f>
        <v>0</v>
      </c>
      <c r="E70" s="23">
        <f>SUMIFS(Expenses!$C$5:$C$504,Expenses!$D$5:$D$504,$A70,Expenses!$A$5:$A$504,"&gt;="&amp;E$67,Expenses!$A$5:$A$504,"&lt;"&amp;EDATE(E$67,1))</f>
        <v>0</v>
      </c>
      <c r="F70" s="23">
        <f>SUMIFS(Expenses!$C$5:$C$504,Expenses!$D$5:$D$504,$A70,Expenses!$A$5:$A$504,"&gt;="&amp;F$67,Expenses!$A$5:$A$504,"&lt;"&amp;EDATE(F$67,1))</f>
        <v>0</v>
      </c>
      <c r="G70" s="23">
        <f>SUMIFS(Expenses!$C$5:$C$504,Expenses!$D$5:$D$504,$A70,Expenses!$A$5:$A$504,"&gt;="&amp;G$67,Expenses!$A$5:$A$504,"&lt;"&amp;EDATE(G$67,1))</f>
        <v>0</v>
      </c>
      <c r="H70" s="23">
        <f>SUMIFS(Expenses!$C$5:$C$504,Expenses!$D$5:$D$504,$A70,Expenses!$A$5:$A$504,"&gt;="&amp;H$67,Expenses!$A$5:$A$504,"&lt;"&amp;EDATE(H$67,1))</f>
        <v>0</v>
      </c>
      <c r="I70" s="23">
        <f>SUMIFS(Expenses!$C$5:$C$504,Expenses!$D$5:$D$504,$A70,Expenses!$A$5:$A$504,"&gt;="&amp;I$67,Expenses!$A$5:$A$504,"&lt;"&amp;EDATE(I$67,1))</f>
        <v>0</v>
      </c>
      <c r="J70" s="23">
        <f>SUMIFS(Expenses!$C$5:$C$504,Expenses!$D$5:$D$504,$A70,Expenses!$A$5:$A$504,"&gt;="&amp;J$67,Expenses!$A$5:$A$504,"&lt;"&amp;EDATE(J$67,1))</f>
        <v>0</v>
      </c>
      <c r="K70" s="23">
        <f>SUMIFS(Expenses!$C$5:$C$504,Expenses!$D$5:$D$504,$A70,Expenses!$A$5:$A$504,"&gt;="&amp;K$67,Expenses!$A$5:$A$504,"&lt;"&amp;EDATE(K$67,1))</f>
        <v>0</v>
      </c>
      <c r="L70" s="23">
        <f>SUMIFS(Expenses!$C$5:$C$504,Expenses!$D$5:$D$504,$A70,Expenses!$A$5:$A$504,"&gt;="&amp;L$67,Expenses!$A$5:$A$504,"&lt;"&amp;EDATE(L$67,1))</f>
        <v>0</v>
      </c>
      <c r="M70" s="23">
        <f>SUMIFS(Expenses!$C$5:$C$504,Expenses!$D$5:$D$504,$A70,Expenses!$A$5:$A$504,"&gt;="&amp;M$67,Expenses!$A$5:$A$504,"&lt;"&amp;EDATE(M$67,1))</f>
        <v>0</v>
      </c>
    </row>
    <row r="71" ht="15.0" customHeight="1">
      <c r="A71" s="19" t="s">
        <v>50</v>
      </c>
      <c r="B71" s="23">
        <f>SUMIFS(Expenses!$C$5:$C$504,Expenses!$D$5:$D$504,$A71,Expenses!$A$5:$A$504,"&gt;="&amp;B$67,Expenses!$A$5:$A$504,"&lt;"&amp;EDATE(B$67,1))</f>
        <v>0</v>
      </c>
      <c r="C71" s="23">
        <f>SUMIFS(Expenses!$C$5:$C$504,Expenses!$D$5:$D$504,$A71,Expenses!$A$5:$A$504,"&gt;="&amp;C$67,Expenses!$A$5:$A$504,"&lt;"&amp;EDATE(C$67,1))</f>
        <v>0</v>
      </c>
      <c r="D71" s="23">
        <f>SUMIFS(Expenses!$C$5:$C$504,Expenses!$D$5:$D$504,$A71,Expenses!$A$5:$A$504,"&gt;="&amp;D$67,Expenses!$A$5:$A$504,"&lt;"&amp;EDATE(D$67,1))</f>
        <v>0</v>
      </c>
      <c r="E71" s="23">
        <f>SUMIFS(Expenses!$C$5:$C$504,Expenses!$D$5:$D$504,$A71,Expenses!$A$5:$A$504,"&gt;="&amp;E$67,Expenses!$A$5:$A$504,"&lt;"&amp;EDATE(E$67,1))</f>
        <v>0</v>
      </c>
      <c r="F71" s="23">
        <f>SUMIFS(Expenses!$C$5:$C$504,Expenses!$D$5:$D$504,$A71,Expenses!$A$5:$A$504,"&gt;="&amp;F$67,Expenses!$A$5:$A$504,"&lt;"&amp;EDATE(F$67,1))</f>
        <v>0</v>
      </c>
      <c r="G71" s="23">
        <f>SUMIFS(Expenses!$C$5:$C$504,Expenses!$D$5:$D$504,$A71,Expenses!$A$5:$A$504,"&gt;="&amp;G$67,Expenses!$A$5:$A$504,"&lt;"&amp;EDATE(G$67,1))</f>
        <v>0</v>
      </c>
      <c r="H71" s="23">
        <f>SUMIFS(Expenses!$C$5:$C$504,Expenses!$D$5:$D$504,$A71,Expenses!$A$5:$A$504,"&gt;="&amp;H$67,Expenses!$A$5:$A$504,"&lt;"&amp;EDATE(H$67,1))</f>
        <v>0</v>
      </c>
      <c r="I71" s="23">
        <f>SUMIFS(Expenses!$C$5:$C$504,Expenses!$D$5:$D$504,$A71,Expenses!$A$5:$A$504,"&gt;="&amp;I$67,Expenses!$A$5:$A$504,"&lt;"&amp;EDATE(I$67,1))</f>
        <v>0</v>
      </c>
      <c r="J71" s="23">
        <f>SUMIFS(Expenses!$C$5:$C$504,Expenses!$D$5:$D$504,$A71,Expenses!$A$5:$A$504,"&gt;="&amp;J$67,Expenses!$A$5:$A$504,"&lt;"&amp;EDATE(J$67,1))</f>
        <v>0</v>
      </c>
      <c r="K71" s="23">
        <f>SUMIFS(Expenses!$C$5:$C$504,Expenses!$D$5:$D$504,$A71,Expenses!$A$5:$A$504,"&gt;="&amp;K$67,Expenses!$A$5:$A$504,"&lt;"&amp;EDATE(K$67,1))</f>
        <v>0</v>
      </c>
      <c r="L71" s="23">
        <f>SUMIFS(Expenses!$C$5:$C$504,Expenses!$D$5:$D$504,$A71,Expenses!$A$5:$A$504,"&gt;="&amp;L$67,Expenses!$A$5:$A$504,"&lt;"&amp;EDATE(L$67,1))</f>
        <v>0</v>
      </c>
      <c r="M71" s="23">
        <f>SUMIFS(Expenses!$C$5:$C$504,Expenses!$D$5:$D$504,$A71,Expenses!$A$5:$A$504,"&gt;="&amp;M$67,Expenses!$A$5:$A$504,"&lt;"&amp;EDATE(M$67,1))</f>
        <v>0</v>
      </c>
    </row>
    <row r="72" ht="15.0" customHeight="1">
      <c r="A72" s="19" t="s">
        <v>51</v>
      </c>
      <c r="B72" s="23">
        <f>SUMIFS(Expenses!$C$5:$C$504,Expenses!$D$5:$D$504,$A72,Expenses!$A$5:$A$504,"&gt;="&amp;B$67,Expenses!$A$5:$A$504,"&lt;"&amp;EDATE(B$67,1))</f>
        <v>0</v>
      </c>
      <c r="C72" s="23">
        <f>SUMIFS(Expenses!$C$5:$C$504,Expenses!$D$5:$D$504,$A72,Expenses!$A$5:$A$504,"&gt;="&amp;C$67,Expenses!$A$5:$A$504,"&lt;"&amp;EDATE(C$67,1))</f>
        <v>0</v>
      </c>
      <c r="D72" s="23">
        <f>SUMIFS(Expenses!$C$5:$C$504,Expenses!$D$5:$D$504,$A72,Expenses!$A$5:$A$504,"&gt;="&amp;D$67,Expenses!$A$5:$A$504,"&lt;"&amp;EDATE(D$67,1))</f>
        <v>0</v>
      </c>
      <c r="E72" s="23">
        <f>SUMIFS(Expenses!$C$5:$C$504,Expenses!$D$5:$D$504,$A72,Expenses!$A$5:$A$504,"&gt;="&amp;E$67,Expenses!$A$5:$A$504,"&lt;"&amp;EDATE(E$67,1))</f>
        <v>0</v>
      </c>
      <c r="F72" s="23">
        <f>SUMIFS(Expenses!$C$5:$C$504,Expenses!$D$5:$D$504,$A72,Expenses!$A$5:$A$504,"&gt;="&amp;F$67,Expenses!$A$5:$A$504,"&lt;"&amp;EDATE(F$67,1))</f>
        <v>0</v>
      </c>
      <c r="G72" s="23">
        <f>SUMIFS(Expenses!$C$5:$C$504,Expenses!$D$5:$D$504,$A72,Expenses!$A$5:$A$504,"&gt;="&amp;G$67,Expenses!$A$5:$A$504,"&lt;"&amp;EDATE(G$67,1))</f>
        <v>0</v>
      </c>
      <c r="H72" s="23">
        <f>SUMIFS(Expenses!$C$5:$C$504,Expenses!$D$5:$D$504,$A72,Expenses!$A$5:$A$504,"&gt;="&amp;H$67,Expenses!$A$5:$A$504,"&lt;"&amp;EDATE(H$67,1))</f>
        <v>0</v>
      </c>
      <c r="I72" s="23">
        <f>SUMIFS(Expenses!$C$5:$C$504,Expenses!$D$5:$D$504,$A72,Expenses!$A$5:$A$504,"&gt;="&amp;I$67,Expenses!$A$5:$A$504,"&lt;"&amp;EDATE(I$67,1))</f>
        <v>0</v>
      </c>
      <c r="J72" s="23">
        <f>SUMIFS(Expenses!$C$5:$C$504,Expenses!$D$5:$D$504,$A72,Expenses!$A$5:$A$504,"&gt;="&amp;J$67,Expenses!$A$5:$A$504,"&lt;"&amp;EDATE(J$67,1))</f>
        <v>0</v>
      </c>
      <c r="K72" s="23">
        <f>SUMIFS(Expenses!$C$5:$C$504,Expenses!$D$5:$D$504,$A72,Expenses!$A$5:$A$504,"&gt;="&amp;K$67,Expenses!$A$5:$A$504,"&lt;"&amp;EDATE(K$67,1))</f>
        <v>0</v>
      </c>
      <c r="L72" s="23">
        <f>SUMIFS(Expenses!$C$5:$C$504,Expenses!$D$5:$D$504,$A72,Expenses!$A$5:$A$504,"&gt;="&amp;L$67,Expenses!$A$5:$A$504,"&lt;"&amp;EDATE(L$67,1))</f>
        <v>0</v>
      </c>
      <c r="M72" s="23">
        <f>SUMIFS(Expenses!$C$5:$C$504,Expenses!$D$5:$D$504,$A72,Expenses!$A$5:$A$504,"&gt;="&amp;M$67,Expenses!$A$5:$A$504,"&lt;"&amp;EDATE(M$67,1))</f>
        <v>0</v>
      </c>
    </row>
    <row r="73" ht="15.0" customHeight="1">
      <c r="A73" s="19" t="s">
        <v>60</v>
      </c>
      <c r="B73" s="23">
        <f>SUMIFS(Expenses!$C$5:$C$504,Expenses!$D$5:$D$504,$A73,Expenses!$A$5:$A$504,"&gt;="&amp;B$67,Expenses!$A$5:$A$504,"&lt;"&amp;EDATE(B$67,1))</f>
        <v>0</v>
      </c>
      <c r="C73" s="23">
        <f>SUMIFS(Expenses!$C$5:$C$504,Expenses!$D$5:$D$504,$A73,Expenses!$A$5:$A$504,"&gt;="&amp;C$67,Expenses!$A$5:$A$504,"&lt;"&amp;EDATE(C$67,1))</f>
        <v>0</v>
      </c>
      <c r="D73" s="23">
        <f>SUMIFS(Expenses!$C$5:$C$504,Expenses!$D$5:$D$504,$A73,Expenses!$A$5:$A$504,"&gt;="&amp;D$67,Expenses!$A$5:$A$504,"&lt;"&amp;EDATE(D$67,1))</f>
        <v>0</v>
      </c>
      <c r="E73" s="23">
        <f>SUMIFS(Expenses!$C$5:$C$504,Expenses!$D$5:$D$504,$A73,Expenses!$A$5:$A$504,"&gt;="&amp;E$67,Expenses!$A$5:$A$504,"&lt;"&amp;EDATE(E$67,1))</f>
        <v>0</v>
      </c>
      <c r="F73" s="23">
        <f>SUMIFS(Expenses!$C$5:$C$504,Expenses!$D$5:$D$504,$A73,Expenses!$A$5:$A$504,"&gt;="&amp;F$67,Expenses!$A$5:$A$504,"&lt;"&amp;EDATE(F$67,1))</f>
        <v>0</v>
      </c>
      <c r="G73" s="23">
        <f>SUMIFS(Expenses!$C$5:$C$504,Expenses!$D$5:$D$504,$A73,Expenses!$A$5:$A$504,"&gt;="&amp;G$67,Expenses!$A$5:$A$504,"&lt;"&amp;EDATE(G$67,1))</f>
        <v>0</v>
      </c>
      <c r="H73" s="23">
        <f>SUMIFS(Expenses!$C$5:$C$504,Expenses!$D$5:$D$504,$A73,Expenses!$A$5:$A$504,"&gt;="&amp;H$67,Expenses!$A$5:$A$504,"&lt;"&amp;EDATE(H$67,1))</f>
        <v>0</v>
      </c>
      <c r="I73" s="23">
        <f>SUMIFS(Expenses!$C$5:$C$504,Expenses!$D$5:$D$504,$A73,Expenses!$A$5:$A$504,"&gt;="&amp;I$67,Expenses!$A$5:$A$504,"&lt;"&amp;EDATE(I$67,1))</f>
        <v>0</v>
      </c>
      <c r="J73" s="23">
        <f>SUMIFS(Expenses!$C$5:$C$504,Expenses!$D$5:$D$504,$A73,Expenses!$A$5:$A$504,"&gt;="&amp;J$67,Expenses!$A$5:$A$504,"&lt;"&amp;EDATE(J$67,1))</f>
        <v>0</v>
      </c>
      <c r="K73" s="23">
        <f>SUMIFS(Expenses!$C$5:$C$504,Expenses!$D$5:$D$504,$A73,Expenses!$A$5:$A$504,"&gt;="&amp;K$67,Expenses!$A$5:$A$504,"&lt;"&amp;EDATE(K$67,1))</f>
        <v>0</v>
      </c>
      <c r="L73" s="23">
        <f>SUMIFS(Expenses!$C$5:$C$504,Expenses!$D$5:$D$504,$A73,Expenses!$A$5:$A$504,"&gt;="&amp;L$67,Expenses!$A$5:$A$504,"&lt;"&amp;EDATE(L$67,1))</f>
        <v>0</v>
      </c>
      <c r="M73" s="23">
        <f>SUMIFS(Expenses!$C$5:$C$504,Expenses!$D$5:$D$504,$A73,Expenses!$A$5:$A$504,"&gt;="&amp;M$67,Expenses!$A$5:$A$504,"&lt;"&amp;EDATE(M$67,1))</f>
        <v>0</v>
      </c>
    </row>
    <row r="74" ht="15.0" customHeight="1">
      <c r="A74" s="19" t="s">
        <v>65</v>
      </c>
      <c r="B74" s="23">
        <f>SUMIFS(Expenses!$C$5:$C$504,Expenses!$D$5:$D$504,$A74,Expenses!$A$5:$A$504,"&gt;="&amp;B$67,Expenses!$A$5:$A$504,"&lt;"&amp;EDATE(B$67,1))</f>
        <v>0</v>
      </c>
      <c r="C74" s="23">
        <f>SUMIFS(Expenses!$C$5:$C$504,Expenses!$D$5:$D$504,$A74,Expenses!$A$5:$A$504,"&gt;="&amp;C$67,Expenses!$A$5:$A$504,"&lt;"&amp;EDATE(C$67,1))</f>
        <v>0</v>
      </c>
      <c r="D74" s="23">
        <f>SUMIFS(Expenses!$C$5:$C$504,Expenses!$D$5:$D$504,$A74,Expenses!$A$5:$A$504,"&gt;="&amp;D$67,Expenses!$A$5:$A$504,"&lt;"&amp;EDATE(D$67,1))</f>
        <v>0</v>
      </c>
      <c r="E74" s="23">
        <f>SUMIFS(Expenses!$C$5:$C$504,Expenses!$D$5:$D$504,$A74,Expenses!$A$5:$A$504,"&gt;="&amp;E$67,Expenses!$A$5:$A$504,"&lt;"&amp;EDATE(E$67,1))</f>
        <v>0</v>
      </c>
      <c r="F74" s="23">
        <f>SUMIFS(Expenses!$C$5:$C$504,Expenses!$D$5:$D$504,$A74,Expenses!$A$5:$A$504,"&gt;="&amp;F$67,Expenses!$A$5:$A$504,"&lt;"&amp;EDATE(F$67,1))</f>
        <v>0</v>
      </c>
      <c r="G74" s="23">
        <f>SUMIFS(Expenses!$C$5:$C$504,Expenses!$D$5:$D$504,$A74,Expenses!$A$5:$A$504,"&gt;="&amp;G$67,Expenses!$A$5:$A$504,"&lt;"&amp;EDATE(G$67,1))</f>
        <v>0</v>
      </c>
      <c r="H74" s="23">
        <f>SUMIFS(Expenses!$C$5:$C$504,Expenses!$D$5:$D$504,$A74,Expenses!$A$5:$A$504,"&gt;="&amp;H$67,Expenses!$A$5:$A$504,"&lt;"&amp;EDATE(H$67,1))</f>
        <v>0</v>
      </c>
      <c r="I74" s="23">
        <f>SUMIFS(Expenses!$C$5:$C$504,Expenses!$D$5:$D$504,$A74,Expenses!$A$5:$A$504,"&gt;="&amp;I$67,Expenses!$A$5:$A$504,"&lt;"&amp;EDATE(I$67,1))</f>
        <v>0</v>
      </c>
      <c r="J74" s="23">
        <f>SUMIFS(Expenses!$C$5:$C$504,Expenses!$D$5:$D$504,$A74,Expenses!$A$5:$A$504,"&gt;="&amp;J$67,Expenses!$A$5:$A$504,"&lt;"&amp;EDATE(J$67,1))</f>
        <v>0</v>
      </c>
      <c r="K74" s="23">
        <f>SUMIFS(Expenses!$C$5:$C$504,Expenses!$D$5:$D$504,$A74,Expenses!$A$5:$A$504,"&gt;="&amp;K$67,Expenses!$A$5:$A$504,"&lt;"&amp;EDATE(K$67,1))</f>
        <v>0</v>
      </c>
      <c r="L74" s="23">
        <f>SUMIFS(Expenses!$C$5:$C$504,Expenses!$D$5:$D$504,$A74,Expenses!$A$5:$A$504,"&gt;="&amp;L$67,Expenses!$A$5:$A$504,"&lt;"&amp;EDATE(L$67,1))</f>
        <v>0</v>
      </c>
      <c r="M74" s="23">
        <f>SUMIFS(Expenses!$C$5:$C$504,Expenses!$D$5:$D$504,$A74,Expenses!$A$5:$A$504,"&gt;="&amp;M$67,Expenses!$A$5:$A$504,"&lt;"&amp;EDATE(M$67,1))</f>
        <v>0</v>
      </c>
    </row>
    <row r="75" ht="15.0" customHeight="1">
      <c r="A75" s="19" t="s">
        <v>62</v>
      </c>
      <c r="B75" s="23">
        <f>SUMIFS(Expenses!$C$5:$C$504,Expenses!$D$5:$D$504,$A75,Expenses!$A$5:$A$504,"&gt;="&amp;B$67,Expenses!$A$5:$A$504,"&lt;"&amp;EDATE(B$67,1))</f>
        <v>0</v>
      </c>
      <c r="C75" s="23">
        <f>SUMIFS(Expenses!$C$5:$C$504,Expenses!$D$5:$D$504,$A75,Expenses!$A$5:$A$504,"&gt;="&amp;C$67,Expenses!$A$5:$A$504,"&lt;"&amp;EDATE(C$67,1))</f>
        <v>0</v>
      </c>
      <c r="D75" s="23">
        <f>SUMIFS(Expenses!$C$5:$C$504,Expenses!$D$5:$D$504,$A75,Expenses!$A$5:$A$504,"&gt;="&amp;D$67,Expenses!$A$5:$A$504,"&lt;"&amp;EDATE(D$67,1))</f>
        <v>0</v>
      </c>
      <c r="E75" s="23">
        <f>SUMIFS(Expenses!$C$5:$C$504,Expenses!$D$5:$D$504,$A75,Expenses!$A$5:$A$504,"&gt;="&amp;E$67,Expenses!$A$5:$A$504,"&lt;"&amp;EDATE(E$67,1))</f>
        <v>0</v>
      </c>
      <c r="F75" s="23">
        <f>SUMIFS(Expenses!$C$5:$C$504,Expenses!$D$5:$D$504,$A75,Expenses!$A$5:$A$504,"&gt;="&amp;F$67,Expenses!$A$5:$A$504,"&lt;"&amp;EDATE(F$67,1))</f>
        <v>0</v>
      </c>
      <c r="G75" s="23">
        <f>SUMIFS(Expenses!$C$5:$C$504,Expenses!$D$5:$D$504,$A75,Expenses!$A$5:$A$504,"&gt;="&amp;G$67,Expenses!$A$5:$A$504,"&lt;"&amp;EDATE(G$67,1))</f>
        <v>0</v>
      </c>
      <c r="H75" s="23">
        <f>SUMIFS(Expenses!$C$5:$C$504,Expenses!$D$5:$D$504,$A75,Expenses!$A$5:$A$504,"&gt;="&amp;H$67,Expenses!$A$5:$A$504,"&lt;"&amp;EDATE(H$67,1))</f>
        <v>0</v>
      </c>
      <c r="I75" s="23">
        <f>SUMIFS(Expenses!$C$5:$C$504,Expenses!$D$5:$D$504,$A75,Expenses!$A$5:$A$504,"&gt;="&amp;I$67,Expenses!$A$5:$A$504,"&lt;"&amp;EDATE(I$67,1))</f>
        <v>0</v>
      </c>
      <c r="J75" s="23">
        <f>SUMIFS(Expenses!$C$5:$C$504,Expenses!$D$5:$D$504,$A75,Expenses!$A$5:$A$504,"&gt;="&amp;J$67,Expenses!$A$5:$A$504,"&lt;"&amp;EDATE(J$67,1))</f>
        <v>0</v>
      </c>
      <c r="K75" s="23">
        <f>SUMIFS(Expenses!$C$5:$C$504,Expenses!$D$5:$D$504,$A75,Expenses!$A$5:$A$504,"&gt;="&amp;K$67,Expenses!$A$5:$A$504,"&lt;"&amp;EDATE(K$67,1))</f>
        <v>0</v>
      </c>
      <c r="L75" s="23">
        <f>SUMIFS(Expenses!$C$5:$C$504,Expenses!$D$5:$D$504,$A75,Expenses!$A$5:$A$504,"&gt;="&amp;L$67,Expenses!$A$5:$A$504,"&lt;"&amp;EDATE(L$67,1))</f>
        <v>0</v>
      </c>
      <c r="M75" s="23">
        <f>SUMIFS(Expenses!$C$5:$C$504,Expenses!$D$5:$D$504,$A75,Expenses!$A$5:$A$504,"&gt;="&amp;M$67,Expenses!$A$5:$A$504,"&lt;"&amp;EDATE(M$67,1))</f>
        <v>0</v>
      </c>
    </row>
    <row r="76" ht="15.0" customHeight="1">
      <c r="A76" s="19" t="s">
        <v>66</v>
      </c>
      <c r="B76" s="23">
        <f>SUMIFS(Expenses!$C$5:$C$504,Expenses!$D$5:$D$504,$A76,Expenses!$A$5:$A$504,"&gt;="&amp;B$67,Expenses!$A$5:$A$504,"&lt;"&amp;EDATE(B$67,1))</f>
        <v>0</v>
      </c>
      <c r="C76" s="23">
        <f>SUMIFS(Expenses!$C$5:$C$504,Expenses!$D$5:$D$504,$A76,Expenses!$A$5:$A$504,"&gt;="&amp;C$67,Expenses!$A$5:$A$504,"&lt;"&amp;EDATE(C$67,1))</f>
        <v>0</v>
      </c>
      <c r="D76" s="23">
        <f>SUMIFS(Expenses!$C$5:$C$504,Expenses!$D$5:$D$504,$A76,Expenses!$A$5:$A$504,"&gt;="&amp;D$67,Expenses!$A$5:$A$504,"&lt;"&amp;EDATE(D$67,1))</f>
        <v>0</v>
      </c>
      <c r="E76" s="23">
        <f>SUMIFS(Expenses!$C$5:$C$504,Expenses!$D$5:$D$504,$A76,Expenses!$A$5:$A$504,"&gt;="&amp;E$67,Expenses!$A$5:$A$504,"&lt;"&amp;EDATE(E$67,1))</f>
        <v>0</v>
      </c>
      <c r="F76" s="23">
        <f>SUMIFS(Expenses!$C$5:$C$504,Expenses!$D$5:$D$504,$A76,Expenses!$A$5:$A$504,"&gt;="&amp;F$67,Expenses!$A$5:$A$504,"&lt;"&amp;EDATE(F$67,1))</f>
        <v>0</v>
      </c>
      <c r="G76" s="23">
        <f>SUMIFS(Expenses!$C$5:$C$504,Expenses!$D$5:$D$504,$A76,Expenses!$A$5:$A$504,"&gt;="&amp;G$67,Expenses!$A$5:$A$504,"&lt;"&amp;EDATE(G$67,1))</f>
        <v>0</v>
      </c>
      <c r="H76" s="23">
        <f>SUMIFS(Expenses!$C$5:$C$504,Expenses!$D$5:$D$504,$A76,Expenses!$A$5:$A$504,"&gt;="&amp;H$67,Expenses!$A$5:$A$504,"&lt;"&amp;EDATE(H$67,1))</f>
        <v>0</v>
      </c>
      <c r="I76" s="23">
        <f>SUMIFS(Expenses!$C$5:$C$504,Expenses!$D$5:$D$504,$A76,Expenses!$A$5:$A$504,"&gt;="&amp;I$67,Expenses!$A$5:$A$504,"&lt;"&amp;EDATE(I$67,1))</f>
        <v>0</v>
      </c>
      <c r="J76" s="23">
        <f>SUMIFS(Expenses!$C$5:$C$504,Expenses!$D$5:$D$504,$A76,Expenses!$A$5:$A$504,"&gt;="&amp;J$67,Expenses!$A$5:$A$504,"&lt;"&amp;EDATE(J$67,1))</f>
        <v>0</v>
      </c>
      <c r="K76" s="23">
        <f>SUMIFS(Expenses!$C$5:$C$504,Expenses!$D$5:$D$504,$A76,Expenses!$A$5:$A$504,"&gt;="&amp;K$67,Expenses!$A$5:$A$504,"&lt;"&amp;EDATE(K$67,1))</f>
        <v>0</v>
      </c>
      <c r="L76" s="23">
        <f>SUMIFS(Expenses!$C$5:$C$504,Expenses!$D$5:$D$504,$A76,Expenses!$A$5:$A$504,"&gt;="&amp;L$67,Expenses!$A$5:$A$504,"&lt;"&amp;EDATE(L$67,1))</f>
        <v>0</v>
      </c>
      <c r="M76" s="23">
        <f>SUMIFS(Expenses!$C$5:$C$504,Expenses!$D$5:$D$504,$A76,Expenses!$A$5:$A$504,"&gt;="&amp;M$67,Expenses!$A$5:$A$504,"&lt;"&amp;EDATE(M$67,1))</f>
        <v>0</v>
      </c>
    </row>
    <row r="77" ht="15.0" customHeight="1">
      <c r="A77" s="19" t="s">
        <v>67</v>
      </c>
      <c r="B77" s="23">
        <f>SUMIFS(Expenses!$C$5:$C$504,Expenses!$D$5:$D$504,$A77,Expenses!$A$5:$A$504,"&gt;="&amp;B$67,Expenses!$A$5:$A$504,"&lt;"&amp;EDATE(B$67,1))</f>
        <v>0</v>
      </c>
      <c r="C77" s="23">
        <f>SUMIFS(Expenses!$C$5:$C$504,Expenses!$D$5:$D$504,$A77,Expenses!$A$5:$A$504,"&gt;="&amp;C$67,Expenses!$A$5:$A$504,"&lt;"&amp;EDATE(C$67,1))</f>
        <v>0</v>
      </c>
      <c r="D77" s="23">
        <f>SUMIFS(Expenses!$C$5:$C$504,Expenses!$D$5:$D$504,$A77,Expenses!$A$5:$A$504,"&gt;="&amp;D$67,Expenses!$A$5:$A$504,"&lt;"&amp;EDATE(D$67,1))</f>
        <v>0</v>
      </c>
      <c r="E77" s="23">
        <f>SUMIFS(Expenses!$C$5:$C$504,Expenses!$D$5:$D$504,$A77,Expenses!$A$5:$A$504,"&gt;="&amp;E$67,Expenses!$A$5:$A$504,"&lt;"&amp;EDATE(E$67,1))</f>
        <v>0</v>
      </c>
      <c r="F77" s="23">
        <f>SUMIFS(Expenses!$C$5:$C$504,Expenses!$D$5:$D$504,$A77,Expenses!$A$5:$A$504,"&gt;="&amp;F$67,Expenses!$A$5:$A$504,"&lt;"&amp;EDATE(F$67,1))</f>
        <v>0</v>
      </c>
      <c r="G77" s="23">
        <f>SUMIFS(Expenses!$C$5:$C$504,Expenses!$D$5:$D$504,$A77,Expenses!$A$5:$A$504,"&gt;="&amp;G$67,Expenses!$A$5:$A$504,"&lt;"&amp;EDATE(G$67,1))</f>
        <v>0</v>
      </c>
      <c r="H77" s="23">
        <f>SUMIFS(Expenses!$C$5:$C$504,Expenses!$D$5:$D$504,$A77,Expenses!$A$5:$A$504,"&gt;="&amp;H$67,Expenses!$A$5:$A$504,"&lt;"&amp;EDATE(H$67,1))</f>
        <v>0</v>
      </c>
      <c r="I77" s="23">
        <f>SUMIFS(Expenses!$C$5:$C$504,Expenses!$D$5:$D$504,$A77,Expenses!$A$5:$A$504,"&gt;="&amp;I$67,Expenses!$A$5:$A$504,"&lt;"&amp;EDATE(I$67,1))</f>
        <v>0</v>
      </c>
      <c r="J77" s="23">
        <f>SUMIFS(Expenses!$C$5:$C$504,Expenses!$D$5:$D$504,$A77,Expenses!$A$5:$A$504,"&gt;="&amp;J$67,Expenses!$A$5:$A$504,"&lt;"&amp;EDATE(J$67,1))</f>
        <v>0</v>
      </c>
      <c r="K77" s="23">
        <f>SUMIFS(Expenses!$C$5:$C$504,Expenses!$D$5:$D$504,$A77,Expenses!$A$5:$A$504,"&gt;="&amp;K$67,Expenses!$A$5:$A$504,"&lt;"&amp;EDATE(K$67,1))</f>
        <v>0</v>
      </c>
      <c r="L77" s="23">
        <f>SUMIFS(Expenses!$C$5:$C$504,Expenses!$D$5:$D$504,$A77,Expenses!$A$5:$A$504,"&gt;="&amp;L$67,Expenses!$A$5:$A$504,"&lt;"&amp;EDATE(L$67,1))</f>
        <v>0</v>
      </c>
      <c r="M77" s="23">
        <f>SUMIFS(Expenses!$C$5:$C$504,Expenses!$D$5:$D$504,$A77,Expenses!$A$5:$A$504,"&gt;="&amp;M$67,Expenses!$A$5:$A$504,"&lt;"&amp;EDATE(M$67,1))</f>
        <v>0</v>
      </c>
    </row>
    <row r="78" ht="15.0" customHeight="1">
      <c r="A78" s="19" t="s">
        <v>68</v>
      </c>
      <c r="B78" s="23">
        <f>SUMIFS(Expenses!$C$5:$C$504,Expenses!$D$5:$D$504,$A78,Expenses!$A$5:$A$504,"&gt;="&amp;B$67,Expenses!$A$5:$A$504,"&lt;"&amp;EDATE(B$67,1))</f>
        <v>0</v>
      </c>
      <c r="C78" s="23">
        <f>SUMIFS(Expenses!$C$5:$C$504,Expenses!$D$5:$D$504,$A78,Expenses!$A$5:$A$504,"&gt;="&amp;C$67,Expenses!$A$5:$A$504,"&lt;"&amp;EDATE(C$67,1))</f>
        <v>0</v>
      </c>
      <c r="D78" s="23">
        <f>SUMIFS(Expenses!$C$5:$C$504,Expenses!$D$5:$D$504,$A78,Expenses!$A$5:$A$504,"&gt;="&amp;D$67,Expenses!$A$5:$A$504,"&lt;"&amp;EDATE(D$67,1))</f>
        <v>0</v>
      </c>
      <c r="E78" s="23">
        <f>SUMIFS(Expenses!$C$5:$C$504,Expenses!$D$5:$D$504,$A78,Expenses!$A$5:$A$504,"&gt;="&amp;E$67,Expenses!$A$5:$A$504,"&lt;"&amp;EDATE(E$67,1))</f>
        <v>0</v>
      </c>
      <c r="F78" s="23">
        <f>SUMIFS(Expenses!$C$5:$C$504,Expenses!$D$5:$D$504,$A78,Expenses!$A$5:$A$504,"&gt;="&amp;F$67,Expenses!$A$5:$A$504,"&lt;"&amp;EDATE(F$67,1))</f>
        <v>0</v>
      </c>
      <c r="G78" s="23">
        <f>SUMIFS(Expenses!$C$5:$C$504,Expenses!$D$5:$D$504,$A78,Expenses!$A$5:$A$504,"&gt;="&amp;G$67,Expenses!$A$5:$A$504,"&lt;"&amp;EDATE(G$67,1))</f>
        <v>0</v>
      </c>
      <c r="H78" s="23">
        <f>SUMIFS(Expenses!$C$5:$C$504,Expenses!$D$5:$D$504,$A78,Expenses!$A$5:$A$504,"&gt;="&amp;H$67,Expenses!$A$5:$A$504,"&lt;"&amp;EDATE(H$67,1))</f>
        <v>0</v>
      </c>
      <c r="I78" s="23">
        <f>SUMIFS(Expenses!$C$5:$C$504,Expenses!$D$5:$D$504,$A78,Expenses!$A$5:$A$504,"&gt;="&amp;I$67,Expenses!$A$5:$A$504,"&lt;"&amp;EDATE(I$67,1))</f>
        <v>0</v>
      </c>
      <c r="J78" s="23">
        <f>SUMIFS(Expenses!$C$5:$C$504,Expenses!$D$5:$D$504,$A78,Expenses!$A$5:$A$504,"&gt;="&amp;J$67,Expenses!$A$5:$A$504,"&lt;"&amp;EDATE(J$67,1))</f>
        <v>0</v>
      </c>
      <c r="K78" s="23">
        <f>SUMIFS(Expenses!$C$5:$C$504,Expenses!$D$5:$D$504,$A78,Expenses!$A$5:$A$504,"&gt;="&amp;K$67,Expenses!$A$5:$A$504,"&lt;"&amp;EDATE(K$67,1))</f>
        <v>0</v>
      </c>
      <c r="L78" s="23">
        <f>SUMIFS(Expenses!$C$5:$C$504,Expenses!$D$5:$D$504,$A78,Expenses!$A$5:$A$504,"&gt;="&amp;L$67,Expenses!$A$5:$A$504,"&lt;"&amp;EDATE(L$67,1))</f>
        <v>0</v>
      </c>
      <c r="M78" s="23">
        <f>SUMIFS(Expenses!$C$5:$C$504,Expenses!$D$5:$D$504,$A78,Expenses!$A$5:$A$504,"&gt;="&amp;M$67,Expenses!$A$5:$A$504,"&lt;"&amp;EDATE(M$67,1))</f>
        <v>0</v>
      </c>
    </row>
    <row r="79" ht="15.0" customHeight="1">
      <c r="A79" s="19" t="s">
        <v>61</v>
      </c>
      <c r="B79" s="23">
        <f>SUMIFS(Expenses!$C$5:$C$504,Expenses!$D$5:$D$504,$A79,Expenses!$A$5:$A$504,"&gt;="&amp;B$67,Expenses!$A$5:$A$504,"&lt;"&amp;EDATE(B$67,1))</f>
        <v>0</v>
      </c>
      <c r="C79" s="23">
        <f>SUMIFS(Expenses!$C$5:$C$504,Expenses!$D$5:$D$504,$A79,Expenses!$A$5:$A$504,"&gt;="&amp;C$67,Expenses!$A$5:$A$504,"&lt;"&amp;EDATE(C$67,1))</f>
        <v>0</v>
      </c>
      <c r="D79" s="23">
        <f>SUMIFS(Expenses!$C$5:$C$504,Expenses!$D$5:$D$504,$A79,Expenses!$A$5:$A$504,"&gt;="&amp;D$67,Expenses!$A$5:$A$504,"&lt;"&amp;EDATE(D$67,1))</f>
        <v>0</v>
      </c>
      <c r="E79" s="23">
        <f>SUMIFS(Expenses!$C$5:$C$504,Expenses!$D$5:$D$504,$A79,Expenses!$A$5:$A$504,"&gt;="&amp;E$67,Expenses!$A$5:$A$504,"&lt;"&amp;EDATE(E$67,1))</f>
        <v>0</v>
      </c>
      <c r="F79" s="23">
        <f>SUMIFS(Expenses!$C$5:$C$504,Expenses!$D$5:$D$504,$A79,Expenses!$A$5:$A$504,"&gt;="&amp;F$67,Expenses!$A$5:$A$504,"&lt;"&amp;EDATE(F$67,1))</f>
        <v>0</v>
      </c>
      <c r="G79" s="23">
        <f>SUMIFS(Expenses!$C$5:$C$504,Expenses!$D$5:$D$504,$A79,Expenses!$A$5:$A$504,"&gt;="&amp;G$67,Expenses!$A$5:$A$504,"&lt;"&amp;EDATE(G$67,1))</f>
        <v>0</v>
      </c>
      <c r="H79" s="23">
        <f>SUMIFS(Expenses!$C$5:$C$504,Expenses!$D$5:$D$504,$A79,Expenses!$A$5:$A$504,"&gt;="&amp;H$67,Expenses!$A$5:$A$504,"&lt;"&amp;EDATE(H$67,1))</f>
        <v>0</v>
      </c>
      <c r="I79" s="23">
        <f>SUMIFS(Expenses!$C$5:$C$504,Expenses!$D$5:$D$504,$A79,Expenses!$A$5:$A$504,"&gt;="&amp;I$67,Expenses!$A$5:$A$504,"&lt;"&amp;EDATE(I$67,1))</f>
        <v>0</v>
      </c>
      <c r="J79" s="23">
        <f>SUMIFS(Expenses!$C$5:$C$504,Expenses!$D$5:$D$504,$A79,Expenses!$A$5:$A$504,"&gt;="&amp;J$67,Expenses!$A$5:$A$504,"&lt;"&amp;EDATE(J$67,1))</f>
        <v>0</v>
      </c>
      <c r="K79" s="23">
        <f>SUMIFS(Expenses!$C$5:$C$504,Expenses!$D$5:$D$504,$A79,Expenses!$A$5:$A$504,"&gt;="&amp;K$67,Expenses!$A$5:$A$504,"&lt;"&amp;EDATE(K$67,1))</f>
        <v>0</v>
      </c>
      <c r="L79" s="23">
        <f>SUMIFS(Expenses!$C$5:$C$504,Expenses!$D$5:$D$504,$A79,Expenses!$A$5:$A$504,"&gt;="&amp;L$67,Expenses!$A$5:$A$504,"&lt;"&amp;EDATE(L$67,1))</f>
        <v>0</v>
      </c>
      <c r="M79" s="23">
        <f>SUMIFS(Expenses!$C$5:$C$504,Expenses!$D$5:$D$504,$A79,Expenses!$A$5:$A$504,"&gt;="&amp;M$67,Expenses!$A$5:$A$504,"&lt;"&amp;EDATE(M$67,1))</f>
        <v>0</v>
      </c>
    </row>
    <row r="80" ht="15.0" customHeight="1">
      <c r="A80" s="28" t="s">
        <v>69</v>
      </c>
      <c r="B80" s="29">
        <f t="shared" ref="B80:M80" si="3">SUM(B68:B79)</f>
        <v>85.32</v>
      </c>
      <c r="C80" s="29">
        <f t="shared" si="3"/>
        <v>0</v>
      </c>
      <c r="D80" s="29">
        <f t="shared" si="3"/>
        <v>0</v>
      </c>
      <c r="E80" s="29">
        <f t="shared" si="3"/>
        <v>0</v>
      </c>
      <c r="F80" s="29">
        <f t="shared" si="3"/>
        <v>0</v>
      </c>
      <c r="G80" s="29">
        <f t="shared" si="3"/>
        <v>0</v>
      </c>
      <c r="H80" s="29">
        <f t="shared" si="3"/>
        <v>0</v>
      </c>
      <c r="I80" s="29">
        <f t="shared" si="3"/>
        <v>0</v>
      </c>
      <c r="J80" s="29">
        <f t="shared" si="3"/>
        <v>0</v>
      </c>
      <c r="K80" s="29">
        <f t="shared" si="3"/>
        <v>0</v>
      </c>
      <c r="L80" s="29">
        <f t="shared" si="3"/>
        <v>0</v>
      </c>
      <c r="M80" s="29">
        <f t="shared" si="3"/>
        <v>0</v>
      </c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5.0" customHeight="1">
      <c r="A83" s="8" t="s">
        <v>70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10"/>
    </row>
    <row r="84" ht="15.0" customHeight="1">
      <c r="A84" s="26" t="s">
        <v>12</v>
      </c>
      <c r="B84" s="27">
        <v>46023.0</v>
      </c>
      <c r="C84" s="27">
        <v>46054.0</v>
      </c>
      <c r="D84" s="27">
        <v>46082.0</v>
      </c>
      <c r="E84" s="27">
        <v>46113.0</v>
      </c>
      <c r="F84" s="27">
        <v>46143.0</v>
      </c>
      <c r="G84" s="27">
        <v>46174.0</v>
      </c>
      <c r="H84" s="27">
        <v>46204.0</v>
      </c>
      <c r="I84" s="27">
        <v>46235.0</v>
      </c>
      <c r="J84" s="27">
        <v>46266.0</v>
      </c>
      <c r="K84" s="27">
        <v>46296.0</v>
      </c>
      <c r="L84" s="27">
        <v>46327.0</v>
      </c>
      <c r="M84" s="27">
        <v>46357.0</v>
      </c>
    </row>
    <row r="85" ht="15.0" customHeight="1">
      <c r="A85" s="19" t="s">
        <v>18</v>
      </c>
      <c r="B85" s="23">
        <f>SUMIFS(Income!$C$5:$C$504,Income!$D$5:$D$504,$A85,Income!$A$5:$A$504,"&gt;="&amp;B$84,Income!$A$5:$A$504,"&lt;"&amp;EDATE(B$84,1))</f>
        <v>3200</v>
      </c>
      <c r="C85" s="23">
        <f>SUMIFS(Income!$C$5:$C$504,Income!$D$5:$D$504,$A85,Income!$A$5:$A$504,"&gt;="&amp;C$84,Income!$A$5:$A$504,"&lt;"&amp;EDATE(C$84,1))</f>
        <v>0</v>
      </c>
      <c r="D85" s="23">
        <f>SUMIFS(Income!$C$5:$C$504,Income!$D$5:$D$504,$A85,Income!$A$5:$A$504,"&gt;="&amp;D$84,Income!$A$5:$A$504,"&lt;"&amp;EDATE(D$84,1))</f>
        <v>0</v>
      </c>
      <c r="E85" s="23">
        <f>SUMIFS(Income!$C$5:$C$504,Income!$D$5:$D$504,$A85,Income!$A$5:$A$504,"&gt;="&amp;E$84,Income!$A$5:$A$504,"&lt;"&amp;EDATE(E$84,1))</f>
        <v>0</v>
      </c>
      <c r="F85" s="23">
        <f>SUMIFS(Income!$C$5:$C$504,Income!$D$5:$D$504,$A85,Income!$A$5:$A$504,"&gt;="&amp;F$84,Income!$A$5:$A$504,"&lt;"&amp;EDATE(F$84,1))</f>
        <v>0</v>
      </c>
      <c r="G85" s="23">
        <f>SUMIFS(Income!$C$5:$C$504,Income!$D$5:$D$504,$A85,Income!$A$5:$A$504,"&gt;="&amp;G$84,Income!$A$5:$A$504,"&lt;"&amp;EDATE(G$84,1))</f>
        <v>0</v>
      </c>
      <c r="H85" s="23">
        <f>SUMIFS(Income!$C$5:$C$504,Income!$D$5:$D$504,$A85,Income!$A$5:$A$504,"&gt;="&amp;H$84,Income!$A$5:$A$504,"&lt;"&amp;EDATE(H$84,1))</f>
        <v>0</v>
      </c>
      <c r="I85" s="23">
        <f>SUMIFS(Income!$C$5:$C$504,Income!$D$5:$D$504,$A85,Income!$A$5:$A$504,"&gt;="&amp;I$84,Income!$A$5:$A$504,"&lt;"&amp;EDATE(I$84,1))</f>
        <v>0</v>
      </c>
      <c r="J85" s="23">
        <f>SUMIFS(Income!$C$5:$C$504,Income!$D$5:$D$504,$A85,Income!$A$5:$A$504,"&gt;="&amp;J$84,Income!$A$5:$A$504,"&lt;"&amp;EDATE(J$84,1))</f>
        <v>0</v>
      </c>
      <c r="K85" s="23">
        <f>SUMIFS(Income!$C$5:$C$504,Income!$D$5:$D$504,$A85,Income!$A$5:$A$504,"&gt;="&amp;K$84,Income!$A$5:$A$504,"&lt;"&amp;EDATE(K$84,1))</f>
        <v>0</v>
      </c>
      <c r="L85" s="23">
        <f>SUMIFS(Income!$C$5:$C$504,Income!$D$5:$D$504,$A85,Income!$A$5:$A$504,"&gt;="&amp;L$84,Income!$A$5:$A$504,"&lt;"&amp;EDATE(L$84,1))</f>
        <v>0</v>
      </c>
      <c r="M85" s="23">
        <f>SUMIFS(Income!$C$5:$C$504,Income!$D$5:$D$504,$A85,Income!$A$5:$A$504,"&gt;="&amp;M$84,Income!$A$5:$A$504,"&lt;"&amp;EDATE(M$84,1))</f>
        <v>0</v>
      </c>
    </row>
    <row r="86" ht="15.0" customHeight="1">
      <c r="A86" s="19" t="s">
        <v>56</v>
      </c>
      <c r="B86" s="23">
        <f>SUMIFS(Income!$C$5:$C$504,Income!$D$5:$D$504,$A86,Income!$A$5:$A$504,"&gt;="&amp;B$84,Income!$A$5:$A$504,"&lt;"&amp;EDATE(B$84,1))</f>
        <v>0</v>
      </c>
      <c r="C86" s="23">
        <f>SUMIFS(Income!$C$5:$C$504,Income!$D$5:$D$504,$A86,Income!$A$5:$A$504,"&gt;="&amp;C$84,Income!$A$5:$A$504,"&lt;"&amp;EDATE(C$84,1))</f>
        <v>0</v>
      </c>
      <c r="D86" s="23">
        <f>SUMIFS(Income!$C$5:$C$504,Income!$D$5:$D$504,$A86,Income!$A$5:$A$504,"&gt;="&amp;D$84,Income!$A$5:$A$504,"&lt;"&amp;EDATE(D$84,1))</f>
        <v>0</v>
      </c>
      <c r="E86" s="23">
        <f>SUMIFS(Income!$C$5:$C$504,Income!$D$5:$D$504,$A86,Income!$A$5:$A$504,"&gt;="&amp;E$84,Income!$A$5:$A$504,"&lt;"&amp;EDATE(E$84,1))</f>
        <v>0</v>
      </c>
      <c r="F86" s="23">
        <f>SUMIFS(Income!$C$5:$C$504,Income!$D$5:$D$504,$A86,Income!$A$5:$A$504,"&gt;="&amp;F$84,Income!$A$5:$A$504,"&lt;"&amp;EDATE(F$84,1))</f>
        <v>0</v>
      </c>
      <c r="G86" s="23">
        <f>SUMIFS(Income!$C$5:$C$504,Income!$D$5:$D$504,$A86,Income!$A$5:$A$504,"&gt;="&amp;G$84,Income!$A$5:$A$504,"&lt;"&amp;EDATE(G$84,1))</f>
        <v>0</v>
      </c>
      <c r="H86" s="23">
        <f>SUMIFS(Income!$C$5:$C$504,Income!$D$5:$D$504,$A86,Income!$A$5:$A$504,"&gt;="&amp;H$84,Income!$A$5:$A$504,"&lt;"&amp;EDATE(H$84,1))</f>
        <v>0</v>
      </c>
      <c r="I86" s="23">
        <f>SUMIFS(Income!$C$5:$C$504,Income!$D$5:$D$504,$A86,Income!$A$5:$A$504,"&gt;="&amp;I$84,Income!$A$5:$A$504,"&lt;"&amp;EDATE(I$84,1))</f>
        <v>0</v>
      </c>
      <c r="J86" s="23">
        <f>SUMIFS(Income!$C$5:$C$504,Income!$D$5:$D$504,$A86,Income!$A$5:$A$504,"&gt;="&amp;J$84,Income!$A$5:$A$504,"&lt;"&amp;EDATE(J$84,1))</f>
        <v>0</v>
      </c>
      <c r="K86" s="23">
        <f>SUMIFS(Income!$C$5:$C$504,Income!$D$5:$D$504,$A86,Income!$A$5:$A$504,"&gt;="&amp;K$84,Income!$A$5:$A$504,"&lt;"&amp;EDATE(K$84,1))</f>
        <v>0</v>
      </c>
      <c r="L86" s="23">
        <f>SUMIFS(Income!$C$5:$C$504,Income!$D$5:$D$504,$A86,Income!$A$5:$A$504,"&gt;="&amp;L$84,Income!$A$5:$A$504,"&lt;"&amp;EDATE(L$84,1))</f>
        <v>0</v>
      </c>
      <c r="M86" s="23">
        <f>SUMIFS(Income!$C$5:$C$504,Income!$D$5:$D$504,$A86,Income!$A$5:$A$504,"&gt;="&amp;M$84,Income!$A$5:$A$504,"&lt;"&amp;EDATE(M$84,1))</f>
        <v>0</v>
      </c>
    </row>
    <row r="87" ht="15.0" customHeight="1">
      <c r="A87" s="19" t="s">
        <v>59</v>
      </c>
      <c r="B87" s="23">
        <f>SUMIFS(Income!$C$5:$C$504,Income!$D$5:$D$504,$A87,Income!$A$5:$A$504,"&gt;="&amp;B$84,Income!$A$5:$A$504,"&lt;"&amp;EDATE(B$84,1))</f>
        <v>0</v>
      </c>
      <c r="C87" s="23">
        <f>SUMIFS(Income!$C$5:$C$504,Income!$D$5:$D$504,$A87,Income!$A$5:$A$504,"&gt;="&amp;C$84,Income!$A$5:$A$504,"&lt;"&amp;EDATE(C$84,1))</f>
        <v>0</v>
      </c>
      <c r="D87" s="23">
        <f>SUMIFS(Income!$C$5:$C$504,Income!$D$5:$D$504,$A87,Income!$A$5:$A$504,"&gt;="&amp;D$84,Income!$A$5:$A$504,"&lt;"&amp;EDATE(D$84,1))</f>
        <v>0</v>
      </c>
      <c r="E87" s="23">
        <f>SUMIFS(Income!$C$5:$C$504,Income!$D$5:$D$504,$A87,Income!$A$5:$A$504,"&gt;="&amp;E$84,Income!$A$5:$A$504,"&lt;"&amp;EDATE(E$84,1))</f>
        <v>0</v>
      </c>
      <c r="F87" s="23">
        <f>SUMIFS(Income!$C$5:$C$504,Income!$D$5:$D$504,$A87,Income!$A$5:$A$504,"&gt;="&amp;F$84,Income!$A$5:$A$504,"&lt;"&amp;EDATE(F$84,1))</f>
        <v>0</v>
      </c>
      <c r="G87" s="23">
        <f>SUMIFS(Income!$C$5:$C$504,Income!$D$5:$D$504,$A87,Income!$A$5:$A$504,"&gt;="&amp;G$84,Income!$A$5:$A$504,"&lt;"&amp;EDATE(G$84,1))</f>
        <v>0</v>
      </c>
      <c r="H87" s="23">
        <f>SUMIFS(Income!$C$5:$C$504,Income!$D$5:$D$504,$A87,Income!$A$5:$A$504,"&gt;="&amp;H$84,Income!$A$5:$A$504,"&lt;"&amp;EDATE(H$84,1))</f>
        <v>0</v>
      </c>
      <c r="I87" s="23">
        <f>SUMIFS(Income!$C$5:$C$504,Income!$D$5:$D$504,$A87,Income!$A$5:$A$504,"&gt;="&amp;I$84,Income!$A$5:$A$504,"&lt;"&amp;EDATE(I$84,1))</f>
        <v>0</v>
      </c>
      <c r="J87" s="23">
        <f>SUMIFS(Income!$C$5:$C$504,Income!$D$5:$D$504,$A87,Income!$A$5:$A$504,"&gt;="&amp;J$84,Income!$A$5:$A$504,"&lt;"&amp;EDATE(J$84,1))</f>
        <v>0</v>
      </c>
      <c r="K87" s="23">
        <f>SUMIFS(Income!$C$5:$C$504,Income!$D$5:$D$504,$A87,Income!$A$5:$A$504,"&gt;="&amp;K$84,Income!$A$5:$A$504,"&lt;"&amp;EDATE(K$84,1))</f>
        <v>0</v>
      </c>
      <c r="L87" s="23">
        <f>SUMIFS(Income!$C$5:$C$504,Income!$D$5:$D$504,$A87,Income!$A$5:$A$504,"&gt;="&amp;L$84,Income!$A$5:$A$504,"&lt;"&amp;EDATE(L$84,1))</f>
        <v>0</v>
      </c>
      <c r="M87" s="23">
        <f>SUMIFS(Income!$C$5:$C$504,Income!$D$5:$D$504,$A87,Income!$A$5:$A$504,"&gt;="&amp;M$84,Income!$A$5:$A$504,"&lt;"&amp;EDATE(M$84,1))</f>
        <v>0</v>
      </c>
    </row>
    <row r="88" ht="15.0" customHeight="1">
      <c r="A88" s="19" t="s">
        <v>58</v>
      </c>
      <c r="B88" s="23">
        <f>SUMIFS(Income!$C$5:$C$504,Income!$D$5:$D$504,$A88,Income!$A$5:$A$504,"&gt;="&amp;B$84,Income!$A$5:$A$504,"&lt;"&amp;EDATE(B$84,1))</f>
        <v>0</v>
      </c>
      <c r="C88" s="23">
        <f>SUMIFS(Income!$C$5:$C$504,Income!$D$5:$D$504,$A88,Income!$A$5:$A$504,"&gt;="&amp;C$84,Income!$A$5:$A$504,"&lt;"&amp;EDATE(C$84,1))</f>
        <v>0</v>
      </c>
      <c r="D88" s="23">
        <f>SUMIFS(Income!$C$5:$C$504,Income!$D$5:$D$504,$A88,Income!$A$5:$A$504,"&gt;="&amp;D$84,Income!$A$5:$A$504,"&lt;"&amp;EDATE(D$84,1))</f>
        <v>0</v>
      </c>
      <c r="E88" s="23">
        <f>SUMIFS(Income!$C$5:$C$504,Income!$D$5:$D$504,$A88,Income!$A$5:$A$504,"&gt;="&amp;E$84,Income!$A$5:$A$504,"&lt;"&amp;EDATE(E$84,1))</f>
        <v>0</v>
      </c>
      <c r="F88" s="23">
        <f>SUMIFS(Income!$C$5:$C$504,Income!$D$5:$D$504,$A88,Income!$A$5:$A$504,"&gt;="&amp;F$84,Income!$A$5:$A$504,"&lt;"&amp;EDATE(F$84,1))</f>
        <v>0</v>
      </c>
      <c r="G88" s="23">
        <f>SUMIFS(Income!$C$5:$C$504,Income!$D$5:$D$504,$A88,Income!$A$5:$A$504,"&gt;="&amp;G$84,Income!$A$5:$A$504,"&lt;"&amp;EDATE(G$84,1))</f>
        <v>0</v>
      </c>
      <c r="H88" s="23">
        <f>SUMIFS(Income!$C$5:$C$504,Income!$D$5:$D$504,$A88,Income!$A$5:$A$504,"&gt;="&amp;H$84,Income!$A$5:$A$504,"&lt;"&amp;EDATE(H$84,1))</f>
        <v>0</v>
      </c>
      <c r="I88" s="23">
        <f>SUMIFS(Income!$C$5:$C$504,Income!$D$5:$D$504,$A88,Income!$A$5:$A$504,"&gt;="&amp;I$84,Income!$A$5:$A$504,"&lt;"&amp;EDATE(I$84,1))</f>
        <v>0</v>
      </c>
      <c r="J88" s="23">
        <f>SUMIFS(Income!$C$5:$C$504,Income!$D$5:$D$504,$A88,Income!$A$5:$A$504,"&gt;="&amp;J$84,Income!$A$5:$A$504,"&lt;"&amp;EDATE(J$84,1))</f>
        <v>0</v>
      </c>
      <c r="K88" s="23">
        <f>SUMIFS(Income!$C$5:$C$504,Income!$D$5:$D$504,$A88,Income!$A$5:$A$504,"&gt;="&amp;K$84,Income!$A$5:$A$504,"&lt;"&amp;EDATE(K$84,1))</f>
        <v>0</v>
      </c>
      <c r="L88" s="23">
        <f>SUMIFS(Income!$C$5:$C$504,Income!$D$5:$D$504,$A88,Income!$A$5:$A$504,"&gt;="&amp;L$84,Income!$A$5:$A$504,"&lt;"&amp;EDATE(L$84,1))</f>
        <v>0</v>
      </c>
      <c r="M88" s="23">
        <f>SUMIFS(Income!$C$5:$C$504,Income!$D$5:$D$504,$A88,Income!$A$5:$A$504,"&gt;="&amp;M$84,Income!$A$5:$A$504,"&lt;"&amp;EDATE(M$84,1))</f>
        <v>0</v>
      </c>
    </row>
    <row r="89" ht="15.0" customHeight="1">
      <c r="A89" s="19" t="s">
        <v>61</v>
      </c>
      <c r="B89" s="23">
        <f>SUMIFS(Income!$C$5:$C$504,Income!$D$5:$D$504,$A89,Income!$A$5:$A$504,"&gt;="&amp;B$84,Income!$A$5:$A$504,"&lt;"&amp;EDATE(B$84,1))</f>
        <v>0</v>
      </c>
      <c r="C89" s="23">
        <f>SUMIFS(Income!$C$5:$C$504,Income!$D$5:$D$504,$A89,Income!$A$5:$A$504,"&gt;="&amp;C$84,Income!$A$5:$A$504,"&lt;"&amp;EDATE(C$84,1))</f>
        <v>0</v>
      </c>
      <c r="D89" s="23">
        <f>SUMIFS(Income!$C$5:$C$504,Income!$D$5:$D$504,$A89,Income!$A$5:$A$504,"&gt;="&amp;D$84,Income!$A$5:$A$504,"&lt;"&amp;EDATE(D$84,1))</f>
        <v>0</v>
      </c>
      <c r="E89" s="23">
        <f>SUMIFS(Income!$C$5:$C$504,Income!$D$5:$D$504,$A89,Income!$A$5:$A$504,"&gt;="&amp;E$84,Income!$A$5:$A$504,"&lt;"&amp;EDATE(E$84,1))</f>
        <v>0</v>
      </c>
      <c r="F89" s="23">
        <f>SUMIFS(Income!$C$5:$C$504,Income!$D$5:$D$504,$A89,Income!$A$5:$A$504,"&gt;="&amp;F$84,Income!$A$5:$A$504,"&lt;"&amp;EDATE(F$84,1))</f>
        <v>0</v>
      </c>
      <c r="G89" s="23">
        <f>SUMIFS(Income!$C$5:$C$504,Income!$D$5:$D$504,$A89,Income!$A$5:$A$504,"&gt;="&amp;G$84,Income!$A$5:$A$504,"&lt;"&amp;EDATE(G$84,1))</f>
        <v>0</v>
      </c>
      <c r="H89" s="23">
        <f>SUMIFS(Income!$C$5:$C$504,Income!$D$5:$D$504,$A89,Income!$A$5:$A$504,"&gt;="&amp;H$84,Income!$A$5:$A$504,"&lt;"&amp;EDATE(H$84,1))</f>
        <v>0</v>
      </c>
      <c r="I89" s="23">
        <f>SUMIFS(Income!$C$5:$C$504,Income!$D$5:$D$504,$A89,Income!$A$5:$A$504,"&gt;="&amp;I$84,Income!$A$5:$A$504,"&lt;"&amp;EDATE(I$84,1))</f>
        <v>0</v>
      </c>
      <c r="J89" s="23">
        <f>SUMIFS(Income!$C$5:$C$504,Income!$D$5:$D$504,$A89,Income!$A$5:$A$504,"&gt;="&amp;J$84,Income!$A$5:$A$504,"&lt;"&amp;EDATE(J$84,1))</f>
        <v>0</v>
      </c>
      <c r="K89" s="23">
        <f>SUMIFS(Income!$C$5:$C$504,Income!$D$5:$D$504,$A89,Income!$A$5:$A$504,"&gt;="&amp;K$84,Income!$A$5:$A$504,"&lt;"&amp;EDATE(K$84,1))</f>
        <v>0</v>
      </c>
      <c r="L89" s="23">
        <f>SUMIFS(Income!$C$5:$C$504,Income!$D$5:$D$504,$A89,Income!$A$5:$A$504,"&gt;="&amp;L$84,Income!$A$5:$A$504,"&lt;"&amp;EDATE(L$84,1))</f>
        <v>0</v>
      </c>
      <c r="M89" s="23">
        <f>SUMIFS(Income!$C$5:$C$504,Income!$D$5:$D$504,$A89,Income!$A$5:$A$504,"&gt;="&amp;M$84,Income!$A$5:$A$504,"&lt;"&amp;EDATE(M$84,1))</f>
        <v>0</v>
      </c>
    </row>
    <row r="90" ht="15.0" customHeight="1">
      <c r="A90" s="28" t="s">
        <v>71</v>
      </c>
      <c r="B90" s="29">
        <f t="shared" ref="B90:M90" si="4">SUM(B85:B89)</f>
        <v>3200</v>
      </c>
      <c r="C90" s="29">
        <f t="shared" si="4"/>
        <v>0</v>
      </c>
      <c r="D90" s="29">
        <f t="shared" si="4"/>
        <v>0</v>
      </c>
      <c r="E90" s="29">
        <f t="shared" si="4"/>
        <v>0</v>
      </c>
      <c r="F90" s="29">
        <f t="shared" si="4"/>
        <v>0</v>
      </c>
      <c r="G90" s="29">
        <f t="shared" si="4"/>
        <v>0</v>
      </c>
      <c r="H90" s="29">
        <f t="shared" si="4"/>
        <v>0</v>
      </c>
      <c r="I90" s="29">
        <f t="shared" si="4"/>
        <v>0</v>
      </c>
      <c r="J90" s="29">
        <f t="shared" si="4"/>
        <v>0</v>
      </c>
      <c r="K90" s="29">
        <f t="shared" si="4"/>
        <v>0</v>
      </c>
      <c r="L90" s="29">
        <f t="shared" si="4"/>
        <v>0</v>
      </c>
      <c r="M90" s="29">
        <f t="shared" si="4"/>
        <v>0</v>
      </c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5.0" customHeight="1">
      <c r="A92" s="33" t="s">
        <v>72</v>
      </c>
      <c r="B92" s="34">
        <f t="shared" ref="B92:M92" si="5">B90-B80</f>
        <v>3114.68</v>
      </c>
      <c r="C92" s="34">
        <f t="shared" si="5"/>
        <v>0</v>
      </c>
      <c r="D92" s="34">
        <f t="shared" si="5"/>
        <v>0</v>
      </c>
      <c r="E92" s="34">
        <f t="shared" si="5"/>
        <v>0</v>
      </c>
      <c r="F92" s="34">
        <f t="shared" si="5"/>
        <v>0</v>
      </c>
      <c r="G92" s="34">
        <f t="shared" si="5"/>
        <v>0</v>
      </c>
      <c r="H92" s="34">
        <f t="shared" si="5"/>
        <v>0</v>
      </c>
      <c r="I92" s="34">
        <f t="shared" si="5"/>
        <v>0</v>
      </c>
      <c r="J92" s="34">
        <f t="shared" si="5"/>
        <v>0</v>
      </c>
      <c r="K92" s="34">
        <f t="shared" si="5"/>
        <v>0</v>
      </c>
      <c r="L92" s="34">
        <f t="shared" si="5"/>
        <v>0</v>
      </c>
      <c r="M92" s="34">
        <f t="shared" si="5"/>
        <v>0</v>
      </c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5.0" customHeight="1">
      <c r="A94" s="8" t="s">
        <v>73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10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5.0" customHeight="1">
      <c r="A96" s="19" t="s">
        <v>74</v>
      </c>
      <c r="B96" s="23">
        <f>SUMIFS(Investments!$D$17:$D$5000,Investments!$A$17:$A$5000,B$18)</f>
        <v>50</v>
      </c>
      <c r="C96" s="23">
        <f>SUMIFS(Investments!$D$17:$D$5000,Investments!$A$17:$A$5000,C$18)</f>
        <v>0</v>
      </c>
      <c r="D96" s="23">
        <f>SUMIFS(Investments!$D$17:$D$5000,Investments!$A$17:$A$5000,D$18)</f>
        <v>0</v>
      </c>
      <c r="E96" s="23">
        <f>SUMIFS(Investments!$D$17:$D$5000,Investments!$A$17:$A$5000,E$18)</f>
        <v>0</v>
      </c>
      <c r="F96" s="23">
        <f>SUMIFS(Investments!$D$17:$D$5000,Investments!$A$17:$A$5000,F$18)</f>
        <v>0</v>
      </c>
      <c r="G96" s="23">
        <f>SUMIFS(Investments!$D$17:$D$5000,Investments!$A$17:$A$5000,G$18)</f>
        <v>0</v>
      </c>
      <c r="H96" s="23">
        <f>SUMIFS(Investments!$D$17:$D$5000,Investments!$A$17:$A$5000,H$18)</f>
        <v>0</v>
      </c>
      <c r="I96" s="23">
        <f>SUMIFS(Investments!$D$17:$D$5000,Investments!$A$17:$A$5000,I$18)</f>
        <v>0</v>
      </c>
      <c r="J96" s="23">
        <f>SUMIFS(Investments!$D$17:$D$5000,Investments!$A$17:$A$5000,J$18)</f>
        <v>0</v>
      </c>
      <c r="K96" s="23">
        <f>SUMIFS(Investments!$D$17:$D$5000,Investments!$A$17:$A$5000,K$18)</f>
        <v>0</v>
      </c>
      <c r="L96" s="23">
        <f>SUMIFS(Investments!$D$17:$D$5000,Investments!$A$17:$A$5000,L$18)</f>
        <v>0</v>
      </c>
      <c r="M96" s="23">
        <f>SUMIFS(Investments!$D$17:$D$5000,Investments!$A$17:$A$5000,M$18)</f>
        <v>0</v>
      </c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5.0" customHeight="1">
      <c r="A98" s="19" t="s">
        <v>75</v>
      </c>
      <c r="B98" s="24">
        <f t="shared" ref="B98:M98" si="6">IFERROR((B92+B96)/(B90+B96),"")</f>
        <v>0.9737476923</v>
      </c>
      <c r="C98" s="24" t="str">
        <f t="shared" si="6"/>
        <v/>
      </c>
      <c r="D98" s="24" t="str">
        <f t="shared" si="6"/>
        <v/>
      </c>
      <c r="E98" s="24" t="str">
        <f t="shared" si="6"/>
        <v/>
      </c>
      <c r="F98" s="24" t="str">
        <f t="shared" si="6"/>
        <v/>
      </c>
      <c r="G98" s="24" t="str">
        <f t="shared" si="6"/>
        <v/>
      </c>
      <c r="H98" s="24" t="str">
        <f t="shared" si="6"/>
        <v/>
      </c>
      <c r="I98" s="24" t="str">
        <f t="shared" si="6"/>
        <v/>
      </c>
      <c r="J98" s="24" t="str">
        <f t="shared" si="6"/>
        <v/>
      </c>
      <c r="K98" s="24" t="str">
        <f t="shared" si="6"/>
        <v/>
      </c>
      <c r="L98" s="24" t="str">
        <f t="shared" si="6"/>
        <v/>
      </c>
      <c r="M98" s="24" t="str">
        <f t="shared" si="6"/>
        <v/>
      </c>
    </row>
    <row r="99" ht="15.0" customHeight="1">
      <c r="A99" s="35" t="s">
        <v>76</v>
      </c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5.0" customHeight="1">
      <c r="A101" s="19" t="s">
        <v>77</v>
      </c>
      <c r="B101" s="24"/>
      <c r="C101" s="24" t="str">
        <f t="shared" ref="C101:M101" si="7">IFERROR((C27-B27)/B27,"")</f>
        <v/>
      </c>
      <c r="D101" s="24" t="str">
        <f t="shared" si="7"/>
        <v/>
      </c>
      <c r="E101" s="24" t="str">
        <f t="shared" si="7"/>
        <v/>
      </c>
      <c r="F101" s="24" t="str">
        <f t="shared" si="7"/>
        <v/>
      </c>
      <c r="G101" s="24" t="str">
        <f t="shared" si="7"/>
        <v/>
      </c>
      <c r="H101" s="24" t="str">
        <f t="shared" si="7"/>
        <v/>
      </c>
      <c r="I101" s="24" t="str">
        <f t="shared" si="7"/>
        <v/>
      </c>
      <c r="J101" s="24" t="str">
        <f t="shared" si="7"/>
        <v/>
      </c>
      <c r="K101" s="24" t="str">
        <f t="shared" si="7"/>
        <v/>
      </c>
      <c r="L101" s="24" t="str">
        <f t="shared" si="7"/>
        <v/>
      </c>
      <c r="M101" s="24" t="str">
        <f t="shared" si="7"/>
        <v/>
      </c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5.0" customHeight="1">
      <c r="A103" s="19" t="s">
        <v>78</v>
      </c>
      <c r="B103" s="36">
        <f t="shared" ref="B103:M103" si="8">IFERROR((B24+B25+B26)/AVERAGE($B$80:B$80),"")</f>
        <v>0</v>
      </c>
      <c r="C103" s="36">
        <f t="shared" si="8"/>
        <v>0</v>
      </c>
      <c r="D103" s="36">
        <f t="shared" si="8"/>
        <v>0</v>
      </c>
      <c r="E103" s="36">
        <f t="shared" si="8"/>
        <v>0</v>
      </c>
      <c r="F103" s="36">
        <f t="shared" si="8"/>
        <v>0</v>
      </c>
      <c r="G103" s="36">
        <f t="shared" si="8"/>
        <v>0</v>
      </c>
      <c r="H103" s="36">
        <f t="shared" si="8"/>
        <v>0</v>
      </c>
      <c r="I103" s="36">
        <f t="shared" si="8"/>
        <v>0</v>
      </c>
      <c r="J103" s="36">
        <f t="shared" si="8"/>
        <v>0</v>
      </c>
      <c r="K103" s="36">
        <f t="shared" si="8"/>
        <v>0</v>
      </c>
      <c r="L103" s="36">
        <f t="shared" si="8"/>
        <v>0</v>
      </c>
      <c r="M103" s="36">
        <f t="shared" si="8"/>
        <v>0</v>
      </c>
    </row>
    <row r="104" ht="15.0" customHeight="1">
      <c r="A104" s="35" t="s">
        <v>79</v>
      </c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0" customHeight="1">
      <c r="A106" s="19" t="s">
        <v>80</v>
      </c>
      <c r="B106" s="37" t="str">
        <f t="shared" ref="B106:M106" si="9">IF(MAX(B$68:B$79)=0,"",INDEX($A$68:$A$79,MATCH(MAX(B$68:B$79),B$68:B$79,0)))</f>
        <v>Groceries</v>
      </c>
      <c r="C106" s="37" t="str">
        <f t="shared" si="9"/>
        <v/>
      </c>
      <c r="D106" s="37" t="str">
        <f t="shared" si="9"/>
        <v/>
      </c>
      <c r="E106" s="37" t="str">
        <f t="shared" si="9"/>
        <v/>
      </c>
      <c r="F106" s="37" t="str">
        <f t="shared" si="9"/>
        <v/>
      </c>
      <c r="G106" s="37" t="str">
        <f t="shared" si="9"/>
        <v/>
      </c>
      <c r="H106" s="37" t="str">
        <f t="shared" si="9"/>
        <v/>
      </c>
      <c r="I106" s="37" t="str">
        <f t="shared" si="9"/>
        <v/>
      </c>
      <c r="J106" s="37" t="str">
        <f t="shared" si="9"/>
        <v/>
      </c>
      <c r="K106" s="37" t="str">
        <f t="shared" si="9"/>
        <v/>
      </c>
      <c r="L106" s="37" t="str">
        <f t="shared" si="9"/>
        <v/>
      </c>
      <c r="M106" s="37" t="str">
        <f t="shared" si="9"/>
        <v/>
      </c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8">
    <mergeCell ref="A2:M2"/>
    <mergeCell ref="A4:M4"/>
    <mergeCell ref="A17:M17"/>
    <mergeCell ref="A66:M66"/>
    <mergeCell ref="A83:M83"/>
    <mergeCell ref="A94:M94"/>
    <mergeCell ref="A99:M99"/>
    <mergeCell ref="A104:M10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3.0" topLeftCell="C14" activePane="bottomRight" state="frozen"/>
      <selection activeCell="C1" sqref="C1" pane="topRight"/>
      <selection activeCell="A14" sqref="A14" pane="bottomLeft"/>
      <selection activeCell="C14" sqref="C14" pane="bottomRight"/>
    </sheetView>
  </sheetViews>
  <sheetFormatPr customHeight="1" defaultColWidth="14.43" defaultRowHeight="15.0"/>
  <cols>
    <col customWidth="1" min="1" max="1" width="16.29"/>
    <col customWidth="1" min="2" max="2" width="27.14"/>
    <col customWidth="1" min="3" max="3" width="13.0"/>
    <col customWidth="1" min="4" max="4" width="20.0"/>
    <col customWidth="1" min="5" max="5" width="15.0"/>
    <col customWidth="1" min="6" max="6" width="13.0"/>
    <col customWidth="1" min="7" max="7" width="11.0"/>
    <col customWidth="1" min="8" max="8" width="8.71"/>
    <col customWidth="1" min="9" max="9" width="28.0"/>
    <col customWidth="1" min="10" max="26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I1" s="4" t="s">
        <v>5</v>
      </c>
    </row>
    <row r="2" ht="15.0" customHeight="1">
      <c r="A2" s="3" t="s">
        <v>6</v>
      </c>
      <c r="I2" s="5" t="s">
        <v>7</v>
      </c>
    </row>
    <row r="3" ht="15.0" customHeight="1">
      <c r="A3" s="2"/>
      <c r="B3" s="2"/>
      <c r="C3" s="2"/>
      <c r="D3" s="2"/>
      <c r="E3" s="2"/>
      <c r="F3" s="2"/>
      <c r="G3" s="2"/>
      <c r="I3" s="7" t="s">
        <v>10</v>
      </c>
    </row>
    <row r="4" ht="15.0" customHeight="1">
      <c r="A4" s="8" t="s">
        <v>13</v>
      </c>
      <c r="B4" s="10"/>
      <c r="C4" s="2"/>
      <c r="D4" s="2"/>
      <c r="E4" s="2"/>
      <c r="F4" s="2"/>
      <c r="G4" s="2"/>
      <c r="I4" s="2"/>
    </row>
    <row r="5" ht="15.0" customHeight="1">
      <c r="A5" s="12" t="s">
        <v>16</v>
      </c>
      <c r="B5" s="12" t="s">
        <v>17</v>
      </c>
      <c r="C5" s="2"/>
      <c r="D5" s="2"/>
      <c r="E5" s="2"/>
      <c r="F5" s="2"/>
      <c r="G5" s="2"/>
      <c r="I5" s="2"/>
    </row>
    <row r="6" ht="15.0" customHeight="1">
      <c r="A6" s="14" t="s">
        <v>19</v>
      </c>
      <c r="B6" s="16">
        <v>1000.0</v>
      </c>
      <c r="C6" s="2"/>
      <c r="D6" s="2"/>
      <c r="E6" s="2"/>
      <c r="F6" s="2"/>
      <c r="G6" s="2"/>
      <c r="I6" s="2"/>
    </row>
    <row r="7" ht="15.0" customHeight="1">
      <c r="A7" s="14" t="s">
        <v>20</v>
      </c>
      <c r="B7" s="16">
        <v>0.0</v>
      </c>
      <c r="C7" s="2"/>
      <c r="D7" s="2"/>
      <c r="E7" s="2"/>
      <c r="F7" s="2"/>
      <c r="G7" s="2"/>
      <c r="I7" s="2"/>
    </row>
    <row r="8" ht="15.0" customHeight="1">
      <c r="A8" s="19" t="s">
        <v>21</v>
      </c>
      <c r="B8" s="16">
        <v>0.0</v>
      </c>
      <c r="C8" s="2"/>
      <c r="D8" s="2"/>
      <c r="E8" s="2"/>
      <c r="F8" s="2"/>
      <c r="G8" s="2"/>
      <c r="I8" s="2"/>
    </row>
    <row r="9" ht="15.0" customHeight="1">
      <c r="A9" s="14" t="s">
        <v>22</v>
      </c>
      <c r="B9" s="16">
        <v>0.0</v>
      </c>
      <c r="C9" s="2"/>
      <c r="D9" s="2"/>
      <c r="E9" s="2"/>
      <c r="F9" s="2"/>
      <c r="G9" s="2"/>
      <c r="I9" s="2"/>
    </row>
    <row r="10" ht="15.0" customHeight="1">
      <c r="A10" s="14" t="s">
        <v>23</v>
      </c>
      <c r="B10" s="16">
        <v>0.0</v>
      </c>
      <c r="C10" s="2"/>
      <c r="D10" s="2"/>
      <c r="E10" s="2"/>
      <c r="F10" s="2"/>
      <c r="G10" s="2"/>
      <c r="I10" s="2"/>
    </row>
    <row r="11" ht="15.0" customHeight="1">
      <c r="A11" s="19" t="s">
        <v>24</v>
      </c>
      <c r="B11" s="16">
        <v>0.0</v>
      </c>
      <c r="C11" s="2"/>
      <c r="D11" s="2"/>
      <c r="E11" s="2"/>
      <c r="F11" s="2"/>
      <c r="G11" s="2"/>
      <c r="I11" s="2"/>
    </row>
    <row r="12" ht="15.0" customHeight="1">
      <c r="A12" s="14" t="s">
        <v>25</v>
      </c>
      <c r="B12" s="16">
        <v>0.0</v>
      </c>
      <c r="C12" s="2"/>
      <c r="D12" s="2"/>
      <c r="E12" s="2"/>
      <c r="F12" s="2"/>
      <c r="G12" s="2"/>
      <c r="I12" s="2"/>
    </row>
    <row r="13" ht="15.0" customHeight="1">
      <c r="A13" s="14" t="s">
        <v>26</v>
      </c>
      <c r="B13" s="16">
        <v>0.0</v>
      </c>
      <c r="C13" s="2"/>
      <c r="D13" s="2"/>
      <c r="E13" s="2"/>
      <c r="F13" s="2"/>
      <c r="G13" s="2"/>
      <c r="I13" s="2"/>
    </row>
    <row r="14">
      <c r="A14" s="2"/>
      <c r="B14" s="2"/>
      <c r="C14" s="2"/>
      <c r="D14" s="2"/>
      <c r="E14" s="2"/>
      <c r="F14" s="2"/>
      <c r="G14" s="2"/>
      <c r="I14" s="2"/>
    </row>
    <row r="15">
      <c r="A15" s="2"/>
      <c r="B15" s="2"/>
      <c r="C15" s="2"/>
      <c r="D15" s="2"/>
      <c r="E15" s="2"/>
      <c r="F15" s="2"/>
      <c r="G15" s="2"/>
      <c r="I15" s="2"/>
    </row>
    <row r="16" ht="26.25" customHeight="1">
      <c r="A16" s="20" t="s">
        <v>8</v>
      </c>
      <c r="B16" s="20" t="s">
        <v>16</v>
      </c>
      <c r="C16" s="20" t="s">
        <v>17</v>
      </c>
      <c r="D16" s="20" t="s">
        <v>28</v>
      </c>
      <c r="E16" s="20" t="s">
        <v>29</v>
      </c>
      <c r="F16" s="20" t="s">
        <v>30</v>
      </c>
      <c r="G16" s="20" t="s">
        <v>31</v>
      </c>
      <c r="I16" s="2"/>
    </row>
    <row r="17" ht="15.0" customHeight="1">
      <c r="A17" s="21">
        <v>46023.0</v>
      </c>
      <c r="B17" s="14" t="s">
        <v>19</v>
      </c>
      <c r="C17" s="16">
        <v>1050.0</v>
      </c>
      <c r="D17" s="16">
        <v>50.0</v>
      </c>
      <c r="E17" s="22">
        <f t="shared" ref="E17:E24" si="1">IFERROR(INDEX($B$6:$B$13,MATCH(B17,$A$6:$A$13,0)),"")</f>
        <v>1000</v>
      </c>
      <c r="F17" s="23">
        <f t="shared" ref="F17:F112" si="2">IF(OR(C17="",E17=""),"",C17-E17-D17)</f>
        <v>0</v>
      </c>
      <c r="G17" s="24">
        <f t="shared" ref="G17:G112" si="3">IFERROR(F17/E17,"")</f>
        <v>0</v>
      </c>
      <c r="I17" s="2"/>
    </row>
    <row r="18" ht="15.0" customHeight="1">
      <c r="A18" s="21">
        <v>46023.0</v>
      </c>
      <c r="B18" s="14" t="s">
        <v>20</v>
      </c>
      <c r="C18" s="16"/>
      <c r="D18" s="16">
        <v>0.0</v>
      </c>
      <c r="E18" s="22">
        <f t="shared" si="1"/>
        <v>0</v>
      </c>
      <c r="F18" s="23" t="str">
        <f t="shared" si="2"/>
        <v/>
      </c>
      <c r="G18" s="24" t="str">
        <f t="shared" si="3"/>
        <v/>
      </c>
      <c r="I18" s="2"/>
    </row>
    <row r="19" ht="15.0" customHeight="1">
      <c r="A19" s="21">
        <v>46023.0</v>
      </c>
      <c r="B19" s="19" t="s">
        <v>21</v>
      </c>
      <c r="C19" s="16"/>
      <c r="D19" s="16">
        <v>0.0</v>
      </c>
      <c r="E19" s="22">
        <f t="shared" si="1"/>
        <v>0</v>
      </c>
      <c r="F19" s="23" t="str">
        <f t="shared" si="2"/>
        <v/>
      </c>
      <c r="G19" s="24" t="str">
        <f t="shared" si="3"/>
        <v/>
      </c>
      <c r="I19" s="2"/>
    </row>
    <row r="20" ht="15.0" customHeight="1">
      <c r="A20" s="21">
        <v>46023.0</v>
      </c>
      <c r="B20" s="14" t="s">
        <v>22</v>
      </c>
      <c r="C20" s="16"/>
      <c r="D20" s="16">
        <v>0.0</v>
      </c>
      <c r="E20" s="22">
        <f t="shared" si="1"/>
        <v>0</v>
      </c>
      <c r="F20" s="23" t="str">
        <f t="shared" si="2"/>
        <v/>
      </c>
      <c r="G20" s="24" t="str">
        <f t="shared" si="3"/>
        <v/>
      </c>
      <c r="I20" s="2"/>
    </row>
    <row r="21" ht="15.0" customHeight="1">
      <c r="A21" s="21">
        <v>46023.0</v>
      </c>
      <c r="B21" s="14" t="s">
        <v>23</v>
      </c>
      <c r="C21" s="16"/>
      <c r="D21" s="16">
        <v>0.0</v>
      </c>
      <c r="E21" s="22">
        <f t="shared" si="1"/>
        <v>0</v>
      </c>
      <c r="F21" s="23" t="str">
        <f t="shared" si="2"/>
        <v/>
      </c>
      <c r="G21" s="24" t="str">
        <f t="shared" si="3"/>
        <v/>
      </c>
      <c r="I21" s="2"/>
    </row>
    <row r="22" ht="15.0" customHeight="1">
      <c r="A22" s="21">
        <v>46023.0</v>
      </c>
      <c r="B22" s="19" t="s">
        <v>24</v>
      </c>
      <c r="C22" s="16"/>
      <c r="D22" s="16">
        <v>0.0</v>
      </c>
      <c r="E22" s="22">
        <f t="shared" si="1"/>
        <v>0</v>
      </c>
      <c r="F22" s="23" t="str">
        <f t="shared" si="2"/>
        <v/>
      </c>
      <c r="G22" s="24" t="str">
        <f t="shared" si="3"/>
        <v/>
      </c>
      <c r="I22" s="2"/>
    </row>
    <row r="23" ht="15.0" customHeight="1">
      <c r="A23" s="21">
        <v>46023.0</v>
      </c>
      <c r="B23" s="14" t="s">
        <v>32</v>
      </c>
      <c r="C23" s="16"/>
      <c r="D23" s="16">
        <v>0.0</v>
      </c>
      <c r="E23" s="22" t="str">
        <f t="shared" si="1"/>
        <v/>
      </c>
      <c r="F23" s="23" t="str">
        <f t="shared" si="2"/>
        <v/>
      </c>
      <c r="G23" s="24" t="str">
        <f t="shared" si="3"/>
        <v/>
      </c>
      <c r="I23" s="2"/>
    </row>
    <row r="24" ht="15.0" customHeight="1">
      <c r="A24" s="21">
        <v>46023.0</v>
      </c>
      <c r="B24" s="14" t="s">
        <v>33</v>
      </c>
      <c r="C24" s="16"/>
      <c r="D24" s="16">
        <v>0.0</v>
      </c>
      <c r="E24" s="22" t="str">
        <f t="shared" si="1"/>
        <v/>
      </c>
      <c r="F24" s="23" t="str">
        <f t="shared" si="2"/>
        <v/>
      </c>
      <c r="G24" s="24" t="str">
        <f t="shared" si="3"/>
        <v/>
      </c>
      <c r="I24" s="2"/>
    </row>
    <row r="25" ht="15.0" customHeight="1">
      <c r="A25" s="21">
        <v>46054.0</v>
      </c>
      <c r="B25" s="14" t="s">
        <v>19</v>
      </c>
      <c r="C25" s="16"/>
      <c r="D25" s="16">
        <v>0.0</v>
      </c>
      <c r="E25" s="22">
        <f t="shared" ref="E25:E112" si="4">C17</f>
        <v>1050</v>
      </c>
      <c r="F25" s="23" t="str">
        <f t="shared" si="2"/>
        <v/>
      </c>
      <c r="G25" s="24">
        <f t="shared" si="3"/>
        <v>0</v>
      </c>
      <c r="I25" s="2"/>
    </row>
    <row r="26" ht="15.0" customHeight="1">
      <c r="A26" s="21">
        <v>46054.0</v>
      </c>
      <c r="B26" s="14" t="s">
        <v>20</v>
      </c>
      <c r="C26" s="16"/>
      <c r="D26" s="16">
        <v>0.0</v>
      </c>
      <c r="E26" s="22" t="str">
        <f t="shared" si="4"/>
        <v/>
      </c>
      <c r="F26" s="23" t="str">
        <f t="shared" si="2"/>
        <v/>
      </c>
      <c r="G26" s="24" t="str">
        <f t="shared" si="3"/>
        <v/>
      </c>
      <c r="I26" s="2"/>
    </row>
    <row r="27" ht="15.0" customHeight="1">
      <c r="A27" s="21">
        <v>46054.0</v>
      </c>
      <c r="B27" s="19" t="s">
        <v>21</v>
      </c>
      <c r="C27" s="16"/>
      <c r="D27" s="16">
        <v>0.0</v>
      </c>
      <c r="E27" s="22" t="str">
        <f t="shared" si="4"/>
        <v/>
      </c>
      <c r="F27" s="23" t="str">
        <f t="shared" si="2"/>
        <v/>
      </c>
      <c r="G27" s="24" t="str">
        <f t="shared" si="3"/>
        <v/>
      </c>
      <c r="I27" s="2"/>
    </row>
    <row r="28" ht="15.0" customHeight="1">
      <c r="A28" s="21">
        <v>46054.0</v>
      </c>
      <c r="B28" s="14" t="s">
        <v>22</v>
      </c>
      <c r="C28" s="16"/>
      <c r="D28" s="16">
        <v>0.0</v>
      </c>
      <c r="E28" s="22" t="str">
        <f t="shared" si="4"/>
        <v/>
      </c>
      <c r="F28" s="23" t="str">
        <f t="shared" si="2"/>
        <v/>
      </c>
      <c r="G28" s="24" t="str">
        <f t="shared" si="3"/>
        <v/>
      </c>
      <c r="I28" s="2"/>
    </row>
    <row r="29" ht="15.0" customHeight="1">
      <c r="A29" s="21">
        <v>46054.0</v>
      </c>
      <c r="B29" s="14" t="s">
        <v>23</v>
      </c>
      <c r="C29" s="16"/>
      <c r="D29" s="16">
        <v>0.0</v>
      </c>
      <c r="E29" s="22" t="str">
        <f t="shared" si="4"/>
        <v/>
      </c>
      <c r="F29" s="23" t="str">
        <f t="shared" si="2"/>
        <v/>
      </c>
      <c r="G29" s="24" t="str">
        <f t="shared" si="3"/>
        <v/>
      </c>
      <c r="I29" s="2"/>
    </row>
    <row r="30" ht="15.0" customHeight="1">
      <c r="A30" s="21">
        <v>46054.0</v>
      </c>
      <c r="B30" s="19" t="s">
        <v>24</v>
      </c>
      <c r="C30" s="16"/>
      <c r="D30" s="16">
        <v>0.0</v>
      </c>
      <c r="E30" s="22" t="str">
        <f t="shared" si="4"/>
        <v/>
      </c>
      <c r="F30" s="23" t="str">
        <f t="shared" si="2"/>
        <v/>
      </c>
      <c r="G30" s="24" t="str">
        <f t="shared" si="3"/>
        <v/>
      </c>
      <c r="I30" s="2"/>
    </row>
    <row r="31" ht="15.0" customHeight="1">
      <c r="A31" s="21">
        <v>46054.0</v>
      </c>
      <c r="B31" s="14" t="s">
        <v>32</v>
      </c>
      <c r="C31" s="16"/>
      <c r="D31" s="16">
        <v>0.0</v>
      </c>
      <c r="E31" s="22" t="str">
        <f t="shared" si="4"/>
        <v/>
      </c>
      <c r="F31" s="23" t="str">
        <f t="shared" si="2"/>
        <v/>
      </c>
      <c r="G31" s="24" t="str">
        <f t="shared" si="3"/>
        <v/>
      </c>
      <c r="I31" s="2"/>
    </row>
    <row r="32" ht="15.0" customHeight="1">
      <c r="A32" s="21">
        <v>46054.0</v>
      </c>
      <c r="B32" s="14" t="s">
        <v>33</v>
      </c>
      <c r="C32" s="16"/>
      <c r="D32" s="16">
        <v>0.0</v>
      </c>
      <c r="E32" s="22" t="str">
        <f t="shared" si="4"/>
        <v/>
      </c>
      <c r="F32" s="23" t="str">
        <f t="shared" si="2"/>
        <v/>
      </c>
      <c r="G32" s="24" t="str">
        <f t="shared" si="3"/>
        <v/>
      </c>
      <c r="I32" s="2"/>
    </row>
    <row r="33" ht="15.0" customHeight="1">
      <c r="A33" s="21">
        <v>46082.0</v>
      </c>
      <c r="B33" s="14" t="s">
        <v>19</v>
      </c>
      <c r="C33" s="16"/>
      <c r="D33" s="16">
        <v>0.0</v>
      </c>
      <c r="E33" s="22" t="str">
        <f t="shared" si="4"/>
        <v/>
      </c>
      <c r="F33" s="23" t="str">
        <f t="shared" si="2"/>
        <v/>
      </c>
      <c r="G33" s="24" t="str">
        <f t="shared" si="3"/>
        <v/>
      </c>
      <c r="I33" s="2"/>
    </row>
    <row r="34" ht="15.0" customHeight="1">
      <c r="A34" s="21">
        <v>46082.0</v>
      </c>
      <c r="B34" s="14" t="s">
        <v>20</v>
      </c>
      <c r="C34" s="16"/>
      <c r="D34" s="16">
        <v>0.0</v>
      </c>
      <c r="E34" s="22" t="str">
        <f t="shared" si="4"/>
        <v/>
      </c>
      <c r="F34" s="23" t="str">
        <f t="shared" si="2"/>
        <v/>
      </c>
      <c r="G34" s="24" t="str">
        <f t="shared" si="3"/>
        <v/>
      </c>
      <c r="I34" s="2"/>
    </row>
    <row r="35" ht="15.0" customHeight="1">
      <c r="A35" s="21">
        <v>46082.0</v>
      </c>
      <c r="B35" s="19" t="s">
        <v>21</v>
      </c>
      <c r="C35" s="16"/>
      <c r="D35" s="16">
        <v>0.0</v>
      </c>
      <c r="E35" s="22" t="str">
        <f t="shared" si="4"/>
        <v/>
      </c>
      <c r="F35" s="23" t="str">
        <f t="shared" si="2"/>
        <v/>
      </c>
      <c r="G35" s="24" t="str">
        <f t="shared" si="3"/>
        <v/>
      </c>
      <c r="I35" s="2"/>
    </row>
    <row r="36" ht="15.0" customHeight="1">
      <c r="A36" s="21">
        <v>46082.0</v>
      </c>
      <c r="B36" s="14" t="s">
        <v>22</v>
      </c>
      <c r="C36" s="16"/>
      <c r="D36" s="16">
        <v>0.0</v>
      </c>
      <c r="E36" s="22" t="str">
        <f t="shared" si="4"/>
        <v/>
      </c>
      <c r="F36" s="23" t="str">
        <f t="shared" si="2"/>
        <v/>
      </c>
      <c r="G36" s="24" t="str">
        <f t="shared" si="3"/>
        <v/>
      </c>
      <c r="I36" s="2"/>
    </row>
    <row r="37" ht="15.0" customHeight="1">
      <c r="A37" s="21">
        <v>46082.0</v>
      </c>
      <c r="B37" s="14" t="s">
        <v>23</v>
      </c>
      <c r="C37" s="16"/>
      <c r="D37" s="16">
        <v>0.0</v>
      </c>
      <c r="E37" s="22" t="str">
        <f t="shared" si="4"/>
        <v/>
      </c>
      <c r="F37" s="23" t="str">
        <f t="shared" si="2"/>
        <v/>
      </c>
      <c r="G37" s="24" t="str">
        <f t="shared" si="3"/>
        <v/>
      </c>
      <c r="I37" s="2"/>
    </row>
    <row r="38" ht="15.0" customHeight="1">
      <c r="A38" s="21">
        <v>46082.0</v>
      </c>
      <c r="B38" s="19" t="s">
        <v>24</v>
      </c>
      <c r="C38" s="16"/>
      <c r="D38" s="16">
        <v>0.0</v>
      </c>
      <c r="E38" s="22" t="str">
        <f t="shared" si="4"/>
        <v/>
      </c>
      <c r="F38" s="23" t="str">
        <f t="shared" si="2"/>
        <v/>
      </c>
      <c r="G38" s="24" t="str">
        <f t="shared" si="3"/>
        <v/>
      </c>
      <c r="I38" s="2"/>
    </row>
    <row r="39" ht="15.0" customHeight="1">
      <c r="A39" s="21">
        <v>46082.0</v>
      </c>
      <c r="B39" s="14" t="s">
        <v>32</v>
      </c>
      <c r="C39" s="16"/>
      <c r="D39" s="16">
        <v>0.0</v>
      </c>
      <c r="E39" s="22" t="str">
        <f t="shared" si="4"/>
        <v/>
      </c>
      <c r="F39" s="23" t="str">
        <f t="shared" si="2"/>
        <v/>
      </c>
      <c r="G39" s="24" t="str">
        <f t="shared" si="3"/>
        <v/>
      </c>
      <c r="I39" s="2"/>
    </row>
    <row r="40" ht="15.0" customHeight="1">
      <c r="A40" s="21">
        <v>46082.0</v>
      </c>
      <c r="B40" s="14" t="s">
        <v>33</v>
      </c>
      <c r="C40" s="16"/>
      <c r="D40" s="16">
        <v>0.0</v>
      </c>
      <c r="E40" s="22" t="str">
        <f t="shared" si="4"/>
        <v/>
      </c>
      <c r="F40" s="23" t="str">
        <f t="shared" si="2"/>
        <v/>
      </c>
      <c r="G40" s="24" t="str">
        <f t="shared" si="3"/>
        <v/>
      </c>
      <c r="I40" s="2"/>
    </row>
    <row r="41" ht="15.0" customHeight="1">
      <c r="A41" s="21">
        <v>46113.0</v>
      </c>
      <c r="B41" s="14" t="s">
        <v>19</v>
      </c>
      <c r="C41" s="16"/>
      <c r="D41" s="16">
        <v>0.0</v>
      </c>
      <c r="E41" s="22" t="str">
        <f t="shared" si="4"/>
        <v/>
      </c>
      <c r="F41" s="23" t="str">
        <f t="shared" si="2"/>
        <v/>
      </c>
      <c r="G41" s="24" t="str">
        <f t="shared" si="3"/>
        <v/>
      </c>
      <c r="I41" s="2"/>
    </row>
    <row r="42" ht="15.0" customHeight="1">
      <c r="A42" s="21">
        <v>46113.0</v>
      </c>
      <c r="B42" s="14" t="s">
        <v>20</v>
      </c>
      <c r="C42" s="16"/>
      <c r="D42" s="16">
        <v>0.0</v>
      </c>
      <c r="E42" s="22" t="str">
        <f t="shared" si="4"/>
        <v/>
      </c>
      <c r="F42" s="23" t="str">
        <f t="shared" si="2"/>
        <v/>
      </c>
      <c r="G42" s="24" t="str">
        <f t="shared" si="3"/>
        <v/>
      </c>
      <c r="I42" s="2"/>
    </row>
    <row r="43" ht="15.0" customHeight="1">
      <c r="A43" s="21">
        <v>46113.0</v>
      </c>
      <c r="B43" s="19" t="s">
        <v>21</v>
      </c>
      <c r="C43" s="16"/>
      <c r="D43" s="16">
        <v>0.0</v>
      </c>
      <c r="E43" s="22" t="str">
        <f t="shared" si="4"/>
        <v/>
      </c>
      <c r="F43" s="23" t="str">
        <f t="shared" si="2"/>
        <v/>
      </c>
      <c r="G43" s="24" t="str">
        <f t="shared" si="3"/>
        <v/>
      </c>
      <c r="I43" s="2"/>
    </row>
    <row r="44" ht="15.0" customHeight="1">
      <c r="A44" s="21">
        <v>46113.0</v>
      </c>
      <c r="B44" s="14" t="s">
        <v>22</v>
      </c>
      <c r="C44" s="16"/>
      <c r="D44" s="16">
        <v>0.0</v>
      </c>
      <c r="E44" s="22" t="str">
        <f t="shared" si="4"/>
        <v/>
      </c>
      <c r="F44" s="23" t="str">
        <f t="shared" si="2"/>
        <v/>
      </c>
      <c r="G44" s="24" t="str">
        <f t="shared" si="3"/>
        <v/>
      </c>
      <c r="I44" s="2"/>
    </row>
    <row r="45" ht="15.0" customHeight="1">
      <c r="A45" s="21">
        <v>46113.0</v>
      </c>
      <c r="B45" s="14" t="s">
        <v>23</v>
      </c>
      <c r="C45" s="16"/>
      <c r="D45" s="16">
        <v>0.0</v>
      </c>
      <c r="E45" s="22" t="str">
        <f t="shared" si="4"/>
        <v/>
      </c>
      <c r="F45" s="23" t="str">
        <f t="shared" si="2"/>
        <v/>
      </c>
      <c r="G45" s="24" t="str">
        <f t="shared" si="3"/>
        <v/>
      </c>
      <c r="I45" s="2"/>
    </row>
    <row r="46" ht="15.0" customHeight="1">
      <c r="A46" s="21">
        <v>46113.0</v>
      </c>
      <c r="B46" s="19" t="s">
        <v>24</v>
      </c>
      <c r="C46" s="16"/>
      <c r="D46" s="16">
        <v>0.0</v>
      </c>
      <c r="E46" s="22" t="str">
        <f t="shared" si="4"/>
        <v/>
      </c>
      <c r="F46" s="23" t="str">
        <f t="shared" si="2"/>
        <v/>
      </c>
      <c r="G46" s="24" t="str">
        <f t="shared" si="3"/>
        <v/>
      </c>
      <c r="I46" s="2"/>
    </row>
    <row r="47" ht="15.0" customHeight="1">
      <c r="A47" s="21">
        <v>46113.0</v>
      </c>
      <c r="B47" s="14" t="s">
        <v>32</v>
      </c>
      <c r="C47" s="16"/>
      <c r="D47" s="16">
        <v>0.0</v>
      </c>
      <c r="E47" s="22" t="str">
        <f t="shared" si="4"/>
        <v/>
      </c>
      <c r="F47" s="23" t="str">
        <f t="shared" si="2"/>
        <v/>
      </c>
      <c r="G47" s="24" t="str">
        <f t="shared" si="3"/>
        <v/>
      </c>
      <c r="I47" s="2"/>
    </row>
    <row r="48" ht="15.0" customHeight="1">
      <c r="A48" s="21">
        <v>46113.0</v>
      </c>
      <c r="B48" s="14" t="s">
        <v>33</v>
      </c>
      <c r="C48" s="16"/>
      <c r="D48" s="16">
        <v>0.0</v>
      </c>
      <c r="E48" s="22" t="str">
        <f t="shared" si="4"/>
        <v/>
      </c>
      <c r="F48" s="23" t="str">
        <f t="shared" si="2"/>
        <v/>
      </c>
      <c r="G48" s="24" t="str">
        <f t="shared" si="3"/>
        <v/>
      </c>
      <c r="I48" s="2"/>
    </row>
    <row r="49" ht="15.0" customHeight="1">
      <c r="A49" s="21">
        <v>46143.0</v>
      </c>
      <c r="B49" s="14" t="s">
        <v>19</v>
      </c>
      <c r="C49" s="16"/>
      <c r="D49" s="16">
        <v>0.0</v>
      </c>
      <c r="E49" s="22" t="str">
        <f t="shared" si="4"/>
        <v/>
      </c>
      <c r="F49" s="23" t="str">
        <f t="shared" si="2"/>
        <v/>
      </c>
      <c r="G49" s="24" t="str">
        <f t="shared" si="3"/>
        <v/>
      </c>
      <c r="I49" s="2"/>
    </row>
    <row r="50" ht="15.0" customHeight="1">
      <c r="A50" s="21">
        <v>46143.0</v>
      </c>
      <c r="B50" s="14" t="s">
        <v>20</v>
      </c>
      <c r="C50" s="16"/>
      <c r="D50" s="16">
        <v>0.0</v>
      </c>
      <c r="E50" s="22" t="str">
        <f t="shared" si="4"/>
        <v/>
      </c>
      <c r="F50" s="23" t="str">
        <f t="shared" si="2"/>
        <v/>
      </c>
      <c r="G50" s="24" t="str">
        <f t="shared" si="3"/>
        <v/>
      </c>
      <c r="I50" s="2"/>
    </row>
    <row r="51" ht="15.0" customHeight="1">
      <c r="A51" s="21">
        <v>46143.0</v>
      </c>
      <c r="B51" s="19" t="s">
        <v>21</v>
      </c>
      <c r="C51" s="16"/>
      <c r="D51" s="16">
        <v>0.0</v>
      </c>
      <c r="E51" s="22" t="str">
        <f t="shared" si="4"/>
        <v/>
      </c>
      <c r="F51" s="23" t="str">
        <f t="shared" si="2"/>
        <v/>
      </c>
      <c r="G51" s="24" t="str">
        <f t="shared" si="3"/>
        <v/>
      </c>
      <c r="I51" s="2"/>
    </row>
    <row r="52" ht="15.0" customHeight="1">
      <c r="A52" s="21">
        <v>46143.0</v>
      </c>
      <c r="B52" s="14" t="s">
        <v>22</v>
      </c>
      <c r="C52" s="16"/>
      <c r="D52" s="16">
        <v>0.0</v>
      </c>
      <c r="E52" s="22" t="str">
        <f t="shared" si="4"/>
        <v/>
      </c>
      <c r="F52" s="23" t="str">
        <f t="shared" si="2"/>
        <v/>
      </c>
      <c r="G52" s="24" t="str">
        <f t="shared" si="3"/>
        <v/>
      </c>
      <c r="I52" s="2"/>
    </row>
    <row r="53" ht="15.0" customHeight="1">
      <c r="A53" s="21">
        <v>46143.0</v>
      </c>
      <c r="B53" s="14" t="s">
        <v>23</v>
      </c>
      <c r="C53" s="16"/>
      <c r="D53" s="16">
        <v>0.0</v>
      </c>
      <c r="E53" s="22" t="str">
        <f t="shared" si="4"/>
        <v/>
      </c>
      <c r="F53" s="23" t="str">
        <f t="shared" si="2"/>
        <v/>
      </c>
      <c r="G53" s="24" t="str">
        <f t="shared" si="3"/>
        <v/>
      </c>
      <c r="I53" s="2"/>
    </row>
    <row r="54" ht="15.0" customHeight="1">
      <c r="A54" s="21">
        <v>46143.0</v>
      </c>
      <c r="B54" s="19" t="s">
        <v>24</v>
      </c>
      <c r="C54" s="16"/>
      <c r="D54" s="16">
        <v>0.0</v>
      </c>
      <c r="E54" s="22" t="str">
        <f t="shared" si="4"/>
        <v/>
      </c>
      <c r="F54" s="23" t="str">
        <f t="shared" si="2"/>
        <v/>
      </c>
      <c r="G54" s="24" t="str">
        <f t="shared" si="3"/>
        <v/>
      </c>
      <c r="I54" s="2"/>
    </row>
    <row r="55" ht="15.0" customHeight="1">
      <c r="A55" s="21">
        <v>46143.0</v>
      </c>
      <c r="B55" s="14" t="s">
        <v>32</v>
      </c>
      <c r="C55" s="16"/>
      <c r="D55" s="16">
        <v>0.0</v>
      </c>
      <c r="E55" s="22" t="str">
        <f t="shared" si="4"/>
        <v/>
      </c>
      <c r="F55" s="23" t="str">
        <f t="shared" si="2"/>
        <v/>
      </c>
      <c r="G55" s="24" t="str">
        <f t="shared" si="3"/>
        <v/>
      </c>
      <c r="I55" s="2"/>
    </row>
    <row r="56" ht="15.0" customHeight="1">
      <c r="A56" s="21">
        <v>46143.0</v>
      </c>
      <c r="B56" s="14" t="s">
        <v>33</v>
      </c>
      <c r="C56" s="16"/>
      <c r="D56" s="16">
        <v>0.0</v>
      </c>
      <c r="E56" s="22" t="str">
        <f t="shared" si="4"/>
        <v/>
      </c>
      <c r="F56" s="23" t="str">
        <f t="shared" si="2"/>
        <v/>
      </c>
      <c r="G56" s="24" t="str">
        <f t="shared" si="3"/>
        <v/>
      </c>
      <c r="I56" s="2"/>
    </row>
    <row r="57" ht="15.0" customHeight="1">
      <c r="A57" s="21">
        <v>46174.0</v>
      </c>
      <c r="B57" s="14" t="s">
        <v>19</v>
      </c>
      <c r="C57" s="16"/>
      <c r="D57" s="16">
        <v>0.0</v>
      </c>
      <c r="E57" s="22" t="str">
        <f t="shared" si="4"/>
        <v/>
      </c>
      <c r="F57" s="23" t="str">
        <f t="shared" si="2"/>
        <v/>
      </c>
      <c r="G57" s="24" t="str">
        <f t="shared" si="3"/>
        <v/>
      </c>
      <c r="I57" s="2"/>
    </row>
    <row r="58" ht="15.0" customHeight="1">
      <c r="A58" s="21">
        <v>46174.0</v>
      </c>
      <c r="B58" s="14" t="s">
        <v>20</v>
      </c>
      <c r="C58" s="16"/>
      <c r="D58" s="16">
        <v>0.0</v>
      </c>
      <c r="E58" s="22" t="str">
        <f t="shared" si="4"/>
        <v/>
      </c>
      <c r="F58" s="23" t="str">
        <f t="shared" si="2"/>
        <v/>
      </c>
      <c r="G58" s="24" t="str">
        <f t="shared" si="3"/>
        <v/>
      </c>
      <c r="I58" s="2"/>
    </row>
    <row r="59" ht="15.0" customHeight="1">
      <c r="A59" s="21">
        <v>46174.0</v>
      </c>
      <c r="B59" s="19" t="s">
        <v>21</v>
      </c>
      <c r="C59" s="16"/>
      <c r="D59" s="16">
        <v>0.0</v>
      </c>
      <c r="E59" s="22" t="str">
        <f t="shared" si="4"/>
        <v/>
      </c>
      <c r="F59" s="23" t="str">
        <f t="shared" si="2"/>
        <v/>
      </c>
      <c r="G59" s="24" t="str">
        <f t="shared" si="3"/>
        <v/>
      </c>
      <c r="I59" s="2"/>
    </row>
    <row r="60" ht="15.0" customHeight="1">
      <c r="A60" s="21">
        <v>46174.0</v>
      </c>
      <c r="B60" s="14" t="s">
        <v>22</v>
      </c>
      <c r="C60" s="16"/>
      <c r="D60" s="16">
        <v>0.0</v>
      </c>
      <c r="E60" s="22" t="str">
        <f t="shared" si="4"/>
        <v/>
      </c>
      <c r="F60" s="23" t="str">
        <f t="shared" si="2"/>
        <v/>
      </c>
      <c r="G60" s="24" t="str">
        <f t="shared" si="3"/>
        <v/>
      </c>
      <c r="I60" s="2"/>
    </row>
    <row r="61" ht="15.0" customHeight="1">
      <c r="A61" s="21">
        <v>46174.0</v>
      </c>
      <c r="B61" s="14" t="s">
        <v>23</v>
      </c>
      <c r="C61" s="16"/>
      <c r="D61" s="16">
        <v>0.0</v>
      </c>
      <c r="E61" s="22" t="str">
        <f t="shared" si="4"/>
        <v/>
      </c>
      <c r="F61" s="23" t="str">
        <f t="shared" si="2"/>
        <v/>
      </c>
      <c r="G61" s="24" t="str">
        <f t="shared" si="3"/>
        <v/>
      </c>
      <c r="I61" s="2"/>
    </row>
    <row r="62" ht="15.0" customHeight="1">
      <c r="A62" s="21">
        <v>46174.0</v>
      </c>
      <c r="B62" s="19" t="s">
        <v>24</v>
      </c>
      <c r="C62" s="16"/>
      <c r="D62" s="16">
        <v>0.0</v>
      </c>
      <c r="E62" s="22" t="str">
        <f t="shared" si="4"/>
        <v/>
      </c>
      <c r="F62" s="23" t="str">
        <f t="shared" si="2"/>
        <v/>
      </c>
      <c r="G62" s="24" t="str">
        <f t="shared" si="3"/>
        <v/>
      </c>
      <c r="I62" s="2"/>
    </row>
    <row r="63" ht="15.0" customHeight="1">
      <c r="A63" s="21">
        <v>46174.0</v>
      </c>
      <c r="B63" s="14" t="s">
        <v>32</v>
      </c>
      <c r="C63" s="16"/>
      <c r="D63" s="16">
        <v>0.0</v>
      </c>
      <c r="E63" s="22" t="str">
        <f t="shared" si="4"/>
        <v/>
      </c>
      <c r="F63" s="23" t="str">
        <f t="shared" si="2"/>
        <v/>
      </c>
      <c r="G63" s="24" t="str">
        <f t="shared" si="3"/>
        <v/>
      </c>
      <c r="I63" s="2"/>
    </row>
    <row r="64" ht="15.0" customHeight="1">
      <c r="A64" s="21">
        <v>46174.0</v>
      </c>
      <c r="B64" s="14" t="s">
        <v>33</v>
      </c>
      <c r="C64" s="16"/>
      <c r="D64" s="16">
        <v>0.0</v>
      </c>
      <c r="E64" s="22" t="str">
        <f t="shared" si="4"/>
        <v/>
      </c>
      <c r="F64" s="23" t="str">
        <f t="shared" si="2"/>
        <v/>
      </c>
      <c r="G64" s="24" t="str">
        <f t="shared" si="3"/>
        <v/>
      </c>
      <c r="I64" s="2"/>
    </row>
    <row r="65" ht="15.0" customHeight="1">
      <c r="A65" s="21">
        <v>46204.0</v>
      </c>
      <c r="B65" s="14" t="s">
        <v>19</v>
      </c>
      <c r="C65" s="16"/>
      <c r="D65" s="16">
        <v>0.0</v>
      </c>
      <c r="E65" s="22" t="str">
        <f t="shared" si="4"/>
        <v/>
      </c>
      <c r="F65" s="23" t="str">
        <f t="shared" si="2"/>
        <v/>
      </c>
      <c r="G65" s="24" t="str">
        <f t="shared" si="3"/>
        <v/>
      </c>
      <c r="I65" s="2"/>
    </row>
    <row r="66" ht="15.0" customHeight="1">
      <c r="A66" s="21">
        <v>46204.0</v>
      </c>
      <c r="B66" s="14" t="s">
        <v>20</v>
      </c>
      <c r="C66" s="16"/>
      <c r="D66" s="16">
        <v>0.0</v>
      </c>
      <c r="E66" s="22" t="str">
        <f t="shared" si="4"/>
        <v/>
      </c>
      <c r="F66" s="23" t="str">
        <f t="shared" si="2"/>
        <v/>
      </c>
      <c r="G66" s="24" t="str">
        <f t="shared" si="3"/>
        <v/>
      </c>
      <c r="I66" s="2"/>
    </row>
    <row r="67" ht="15.0" customHeight="1">
      <c r="A67" s="21">
        <v>46204.0</v>
      </c>
      <c r="B67" s="19" t="s">
        <v>21</v>
      </c>
      <c r="C67" s="16"/>
      <c r="D67" s="16">
        <v>0.0</v>
      </c>
      <c r="E67" s="22" t="str">
        <f t="shared" si="4"/>
        <v/>
      </c>
      <c r="F67" s="23" t="str">
        <f t="shared" si="2"/>
        <v/>
      </c>
      <c r="G67" s="24" t="str">
        <f t="shared" si="3"/>
        <v/>
      </c>
      <c r="I67" s="2"/>
    </row>
    <row r="68" ht="15.0" customHeight="1">
      <c r="A68" s="21">
        <v>46204.0</v>
      </c>
      <c r="B68" s="14" t="s">
        <v>22</v>
      </c>
      <c r="C68" s="16"/>
      <c r="D68" s="16">
        <v>0.0</v>
      </c>
      <c r="E68" s="22" t="str">
        <f t="shared" si="4"/>
        <v/>
      </c>
      <c r="F68" s="23" t="str">
        <f t="shared" si="2"/>
        <v/>
      </c>
      <c r="G68" s="24" t="str">
        <f t="shared" si="3"/>
        <v/>
      </c>
      <c r="I68" s="2"/>
    </row>
    <row r="69" ht="15.0" customHeight="1">
      <c r="A69" s="21">
        <v>46204.0</v>
      </c>
      <c r="B69" s="14" t="s">
        <v>23</v>
      </c>
      <c r="C69" s="16"/>
      <c r="D69" s="16">
        <v>0.0</v>
      </c>
      <c r="E69" s="22" t="str">
        <f t="shared" si="4"/>
        <v/>
      </c>
      <c r="F69" s="23" t="str">
        <f t="shared" si="2"/>
        <v/>
      </c>
      <c r="G69" s="24" t="str">
        <f t="shared" si="3"/>
        <v/>
      </c>
      <c r="I69" s="2"/>
    </row>
    <row r="70" ht="15.0" customHeight="1">
      <c r="A70" s="21">
        <v>46204.0</v>
      </c>
      <c r="B70" s="19" t="s">
        <v>24</v>
      </c>
      <c r="C70" s="16"/>
      <c r="D70" s="16">
        <v>0.0</v>
      </c>
      <c r="E70" s="22" t="str">
        <f t="shared" si="4"/>
        <v/>
      </c>
      <c r="F70" s="23" t="str">
        <f t="shared" si="2"/>
        <v/>
      </c>
      <c r="G70" s="24" t="str">
        <f t="shared" si="3"/>
        <v/>
      </c>
      <c r="I70" s="2"/>
    </row>
    <row r="71" ht="15.0" customHeight="1">
      <c r="A71" s="21">
        <v>46204.0</v>
      </c>
      <c r="B71" s="14" t="s">
        <v>32</v>
      </c>
      <c r="C71" s="16"/>
      <c r="D71" s="16">
        <v>0.0</v>
      </c>
      <c r="E71" s="22" t="str">
        <f t="shared" si="4"/>
        <v/>
      </c>
      <c r="F71" s="23" t="str">
        <f t="shared" si="2"/>
        <v/>
      </c>
      <c r="G71" s="24" t="str">
        <f t="shared" si="3"/>
        <v/>
      </c>
      <c r="I71" s="2"/>
    </row>
    <row r="72" ht="15.0" customHeight="1">
      <c r="A72" s="21">
        <v>46204.0</v>
      </c>
      <c r="B72" s="14" t="s">
        <v>33</v>
      </c>
      <c r="C72" s="16"/>
      <c r="D72" s="16">
        <v>0.0</v>
      </c>
      <c r="E72" s="22" t="str">
        <f t="shared" si="4"/>
        <v/>
      </c>
      <c r="F72" s="23" t="str">
        <f t="shared" si="2"/>
        <v/>
      </c>
      <c r="G72" s="24" t="str">
        <f t="shared" si="3"/>
        <v/>
      </c>
      <c r="I72" s="2"/>
    </row>
    <row r="73" ht="15.0" customHeight="1">
      <c r="A73" s="21">
        <v>46235.0</v>
      </c>
      <c r="B73" s="14" t="s">
        <v>19</v>
      </c>
      <c r="C73" s="16"/>
      <c r="D73" s="16">
        <v>0.0</v>
      </c>
      <c r="E73" s="22" t="str">
        <f t="shared" si="4"/>
        <v/>
      </c>
      <c r="F73" s="23" t="str">
        <f t="shared" si="2"/>
        <v/>
      </c>
      <c r="G73" s="24" t="str">
        <f t="shared" si="3"/>
        <v/>
      </c>
      <c r="I73" s="2"/>
    </row>
    <row r="74" ht="15.0" customHeight="1">
      <c r="A74" s="21">
        <v>46235.0</v>
      </c>
      <c r="B74" s="14" t="s">
        <v>20</v>
      </c>
      <c r="C74" s="16"/>
      <c r="D74" s="16">
        <v>0.0</v>
      </c>
      <c r="E74" s="22" t="str">
        <f t="shared" si="4"/>
        <v/>
      </c>
      <c r="F74" s="23" t="str">
        <f t="shared" si="2"/>
        <v/>
      </c>
      <c r="G74" s="24" t="str">
        <f t="shared" si="3"/>
        <v/>
      </c>
      <c r="I74" s="2"/>
    </row>
    <row r="75" ht="15.0" customHeight="1">
      <c r="A75" s="21">
        <v>46235.0</v>
      </c>
      <c r="B75" s="19" t="s">
        <v>21</v>
      </c>
      <c r="C75" s="16"/>
      <c r="D75" s="16">
        <v>0.0</v>
      </c>
      <c r="E75" s="22" t="str">
        <f t="shared" si="4"/>
        <v/>
      </c>
      <c r="F75" s="23" t="str">
        <f t="shared" si="2"/>
        <v/>
      </c>
      <c r="G75" s="24" t="str">
        <f t="shared" si="3"/>
        <v/>
      </c>
      <c r="I75" s="2"/>
    </row>
    <row r="76" ht="15.0" customHeight="1">
      <c r="A76" s="21">
        <v>46235.0</v>
      </c>
      <c r="B76" s="14" t="s">
        <v>22</v>
      </c>
      <c r="C76" s="16"/>
      <c r="D76" s="16">
        <v>0.0</v>
      </c>
      <c r="E76" s="22" t="str">
        <f t="shared" si="4"/>
        <v/>
      </c>
      <c r="F76" s="23" t="str">
        <f t="shared" si="2"/>
        <v/>
      </c>
      <c r="G76" s="24" t="str">
        <f t="shared" si="3"/>
        <v/>
      </c>
      <c r="I76" s="2"/>
    </row>
    <row r="77" ht="15.0" customHeight="1">
      <c r="A77" s="21">
        <v>46235.0</v>
      </c>
      <c r="B77" s="14" t="s">
        <v>23</v>
      </c>
      <c r="C77" s="16"/>
      <c r="D77" s="16">
        <v>0.0</v>
      </c>
      <c r="E77" s="22" t="str">
        <f t="shared" si="4"/>
        <v/>
      </c>
      <c r="F77" s="23" t="str">
        <f t="shared" si="2"/>
        <v/>
      </c>
      <c r="G77" s="24" t="str">
        <f t="shared" si="3"/>
        <v/>
      </c>
      <c r="I77" s="2"/>
    </row>
    <row r="78" ht="15.0" customHeight="1">
      <c r="A78" s="21">
        <v>46235.0</v>
      </c>
      <c r="B78" s="19" t="s">
        <v>24</v>
      </c>
      <c r="C78" s="16"/>
      <c r="D78" s="16">
        <v>0.0</v>
      </c>
      <c r="E78" s="22" t="str">
        <f t="shared" si="4"/>
        <v/>
      </c>
      <c r="F78" s="23" t="str">
        <f t="shared" si="2"/>
        <v/>
      </c>
      <c r="G78" s="24" t="str">
        <f t="shared" si="3"/>
        <v/>
      </c>
      <c r="I78" s="2"/>
    </row>
    <row r="79" ht="15.0" customHeight="1">
      <c r="A79" s="21">
        <v>46235.0</v>
      </c>
      <c r="B79" s="14" t="s">
        <v>32</v>
      </c>
      <c r="C79" s="16"/>
      <c r="D79" s="16">
        <v>0.0</v>
      </c>
      <c r="E79" s="22" t="str">
        <f t="shared" si="4"/>
        <v/>
      </c>
      <c r="F79" s="23" t="str">
        <f t="shared" si="2"/>
        <v/>
      </c>
      <c r="G79" s="24" t="str">
        <f t="shared" si="3"/>
        <v/>
      </c>
      <c r="I79" s="2"/>
    </row>
    <row r="80" ht="15.0" customHeight="1">
      <c r="A80" s="21">
        <v>46235.0</v>
      </c>
      <c r="B80" s="14" t="s">
        <v>33</v>
      </c>
      <c r="C80" s="16"/>
      <c r="D80" s="16">
        <v>0.0</v>
      </c>
      <c r="E80" s="22" t="str">
        <f t="shared" si="4"/>
        <v/>
      </c>
      <c r="F80" s="23" t="str">
        <f t="shared" si="2"/>
        <v/>
      </c>
      <c r="G80" s="24" t="str">
        <f t="shared" si="3"/>
        <v/>
      </c>
      <c r="I80" s="2"/>
    </row>
    <row r="81" ht="15.0" customHeight="1">
      <c r="A81" s="21">
        <v>46266.0</v>
      </c>
      <c r="B81" s="14" t="s">
        <v>19</v>
      </c>
      <c r="C81" s="16"/>
      <c r="D81" s="16">
        <v>0.0</v>
      </c>
      <c r="E81" s="22" t="str">
        <f t="shared" si="4"/>
        <v/>
      </c>
      <c r="F81" s="23" t="str">
        <f t="shared" si="2"/>
        <v/>
      </c>
      <c r="G81" s="24" t="str">
        <f t="shared" si="3"/>
        <v/>
      </c>
      <c r="I81" s="2"/>
    </row>
    <row r="82" ht="15.0" customHeight="1">
      <c r="A82" s="21">
        <v>46266.0</v>
      </c>
      <c r="B82" s="14" t="s">
        <v>20</v>
      </c>
      <c r="C82" s="16"/>
      <c r="D82" s="16">
        <v>0.0</v>
      </c>
      <c r="E82" s="22" t="str">
        <f t="shared" si="4"/>
        <v/>
      </c>
      <c r="F82" s="23" t="str">
        <f t="shared" si="2"/>
        <v/>
      </c>
      <c r="G82" s="24" t="str">
        <f t="shared" si="3"/>
        <v/>
      </c>
      <c r="I82" s="2"/>
    </row>
    <row r="83" ht="15.0" customHeight="1">
      <c r="A83" s="21">
        <v>46266.0</v>
      </c>
      <c r="B83" s="19" t="s">
        <v>21</v>
      </c>
      <c r="C83" s="16"/>
      <c r="D83" s="16">
        <v>0.0</v>
      </c>
      <c r="E83" s="22" t="str">
        <f t="shared" si="4"/>
        <v/>
      </c>
      <c r="F83" s="23" t="str">
        <f t="shared" si="2"/>
        <v/>
      </c>
      <c r="G83" s="24" t="str">
        <f t="shared" si="3"/>
        <v/>
      </c>
      <c r="I83" s="2"/>
    </row>
    <row r="84" ht="15.0" customHeight="1">
      <c r="A84" s="21">
        <v>46266.0</v>
      </c>
      <c r="B84" s="14" t="s">
        <v>22</v>
      </c>
      <c r="C84" s="16"/>
      <c r="D84" s="16">
        <v>0.0</v>
      </c>
      <c r="E84" s="22" t="str">
        <f t="shared" si="4"/>
        <v/>
      </c>
      <c r="F84" s="23" t="str">
        <f t="shared" si="2"/>
        <v/>
      </c>
      <c r="G84" s="24" t="str">
        <f t="shared" si="3"/>
        <v/>
      </c>
      <c r="I84" s="2"/>
    </row>
    <row r="85" ht="15.0" customHeight="1">
      <c r="A85" s="21">
        <v>46266.0</v>
      </c>
      <c r="B85" s="14" t="s">
        <v>23</v>
      </c>
      <c r="C85" s="16"/>
      <c r="D85" s="16">
        <v>0.0</v>
      </c>
      <c r="E85" s="22" t="str">
        <f t="shared" si="4"/>
        <v/>
      </c>
      <c r="F85" s="23" t="str">
        <f t="shared" si="2"/>
        <v/>
      </c>
      <c r="G85" s="24" t="str">
        <f t="shared" si="3"/>
        <v/>
      </c>
      <c r="I85" s="2"/>
    </row>
    <row r="86" ht="15.0" customHeight="1">
      <c r="A86" s="21">
        <v>46266.0</v>
      </c>
      <c r="B86" s="19" t="s">
        <v>24</v>
      </c>
      <c r="C86" s="16"/>
      <c r="D86" s="16">
        <v>0.0</v>
      </c>
      <c r="E86" s="22" t="str">
        <f t="shared" si="4"/>
        <v/>
      </c>
      <c r="F86" s="23" t="str">
        <f t="shared" si="2"/>
        <v/>
      </c>
      <c r="G86" s="24" t="str">
        <f t="shared" si="3"/>
        <v/>
      </c>
      <c r="I86" s="2"/>
    </row>
    <row r="87" ht="15.0" customHeight="1">
      <c r="A87" s="21">
        <v>46266.0</v>
      </c>
      <c r="B87" s="14" t="s">
        <v>32</v>
      </c>
      <c r="C87" s="16"/>
      <c r="D87" s="16">
        <v>0.0</v>
      </c>
      <c r="E87" s="22" t="str">
        <f t="shared" si="4"/>
        <v/>
      </c>
      <c r="F87" s="23" t="str">
        <f t="shared" si="2"/>
        <v/>
      </c>
      <c r="G87" s="24" t="str">
        <f t="shared" si="3"/>
        <v/>
      </c>
      <c r="I87" s="2"/>
    </row>
    <row r="88" ht="15.0" customHeight="1">
      <c r="A88" s="21">
        <v>46266.0</v>
      </c>
      <c r="B88" s="14" t="s">
        <v>33</v>
      </c>
      <c r="C88" s="16"/>
      <c r="D88" s="16">
        <v>0.0</v>
      </c>
      <c r="E88" s="22" t="str">
        <f t="shared" si="4"/>
        <v/>
      </c>
      <c r="F88" s="23" t="str">
        <f t="shared" si="2"/>
        <v/>
      </c>
      <c r="G88" s="24" t="str">
        <f t="shared" si="3"/>
        <v/>
      </c>
      <c r="I88" s="2"/>
    </row>
    <row r="89" ht="15.0" customHeight="1">
      <c r="A89" s="21">
        <v>46296.0</v>
      </c>
      <c r="B89" s="14" t="s">
        <v>19</v>
      </c>
      <c r="C89" s="16"/>
      <c r="D89" s="16">
        <v>0.0</v>
      </c>
      <c r="E89" s="22" t="str">
        <f t="shared" si="4"/>
        <v/>
      </c>
      <c r="F89" s="23" t="str">
        <f t="shared" si="2"/>
        <v/>
      </c>
      <c r="G89" s="24" t="str">
        <f t="shared" si="3"/>
        <v/>
      </c>
      <c r="I89" s="2"/>
    </row>
    <row r="90" ht="15.0" customHeight="1">
      <c r="A90" s="21">
        <v>46296.0</v>
      </c>
      <c r="B90" s="14" t="s">
        <v>20</v>
      </c>
      <c r="C90" s="16"/>
      <c r="D90" s="16">
        <v>0.0</v>
      </c>
      <c r="E90" s="22" t="str">
        <f t="shared" si="4"/>
        <v/>
      </c>
      <c r="F90" s="23" t="str">
        <f t="shared" si="2"/>
        <v/>
      </c>
      <c r="G90" s="24" t="str">
        <f t="shared" si="3"/>
        <v/>
      </c>
      <c r="I90" s="2"/>
    </row>
    <row r="91" ht="15.0" customHeight="1">
      <c r="A91" s="21">
        <v>46296.0</v>
      </c>
      <c r="B91" s="19" t="s">
        <v>21</v>
      </c>
      <c r="C91" s="16"/>
      <c r="D91" s="16">
        <v>0.0</v>
      </c>
      <c r="E91" s="22" t="str">
        <f t="shared" si="4"/>
        <v/>
      </c>
      <c r="F91" s="23" t="str">
        <f t="shared" si="2"/>
        <v/>
      </c>
      <c r="G91" s="24" t="str">
        <f t="shared" si="3"/>
        <v/>
      </c>
      <c r="I91" s="2"/>
    </row>
    <row r="92" ht="15.0" customHeight="1">
      <c r="A92" s="21">
        <v>46296.0</v>
      </c>
      <c r="B92" s="14" t="s">
        <v>22</v>
      </c>
      <c r="C92" s="16"/>
      <c r="D92" s="16">
        <v>0.0</v>
      </c>
      <c r="E92" s="22" t="str">
        <f t="shared" si="4"/>
        <v/>
      </c>
      <c r="F92" s="23" t="str">
        <f t="shared" si="2"/>
        <v/>
      </c>
      <c r="G92" s="24" t="str">
        <f t="shared" si="3"/>
        <v/>
      </c>
      <c r="I92" s="2"/>
    </row>
    <row r="93" ht="15.0" customHeight="1">
      <c r="A93" s="21">
        <v>46296.0</v>
      </c>
      <c r="B93" s="14" t="s">
        <v>23</v>
      </c>
      <c r="C93" s="16"/>
      <c r="D93" s="16">
        <v>0.0</v>
      </c>
      <c r="E93" s="22" t="str">
        <f t="shared" si="4"/>
        <v/>
      </c>
      <c r="F93" s="23" t="str">
        <f t="shared" si="2"/>
        <v/>
      </c>
      <c r="G93" s="24" t="str">
        <f t="shared" si="3"/>
        <v/>
      </c>
      <c r="I93" s="2"/>
    </row>
    <row r="94" ht="15.0" customHeight="1">
      <c r="A94" s="21">
        <v>46296.0</v>
      </c>
      <c r="B94" s="19" t="s">
        <v>24</v>
      </c>
      <c r="C94" s="16"/>
      <c r="D94" s="16">
        <v>0.0</v>
      </c>
      <c r="E94" s="22" t="str">
        <f t="shared" si="4"/>
        <v/>
      </c>
      <c r="F94" s="23" t="str">
        <f t="shared" si="2"/>
        <v/>
      </c>
      <c r="G94" s="24" t="str">
        <f t="shared" si="3"/>
        <v/>
      </c>
      <c r="I94" s="2"/>
    </row>
    <row r="95" ht="15.0" customHeight="1">
      <c r="A95" s="21">
        <v>46296.0</v>
      </c>
      <c r="B95" s="14" t="s">
        <v>32</v>
      </c>
      <c r="C95" s="16"/>
      <c r="D95" s="16">
        <v>0.0</v>
      </c>
      <c r="E95" s="22" t="str">
        <f t="shared" si="4"/>
        <v/>
      </c>
      <c r="F95" s="23" t="str">
        <f t="shared" si="2"/>
        <v/>
      </c>
      <c r="G95" s="24" t="str">
        <f t="shared" si="3"/>
        <v/>
      </c>
      <c r="I95" s="2"/>
    </row>
    <row r="96" ht="15.0" customHeight="1">
      <c r="A96" s="21">
        <v>46296.0</v>
      </c>
      <c r="B96" s="14" t="s">
        <v>33</v>
      </c>
      <c r="C96" s="16"/>
      <c r="D96" s="16">
        <v>0.0</v>
      </c>
      <c r="E96" s="22" t="str">
        <f t="shared" si="4"/>
        <v/>
      </c>
      <c r="F96" s="23" t="str">
        <f t="shared" si="2"/>
        <v/>
      </c>
      <c r="G96" s="24" t="str">
        <f t="shared" si="3"/>
        <v/>
      </c>
      <c r="I96" s="2"/>
    </row>
    <row r="97" ht="15.0" customHeight="1">
      <c r="A97" s="21">
        <v>46327.0</v>
      </c>
      <c r="B97" s="14" t="s">
        <v>19</v>
      </c>
      <c r="C97" s="16"/>
      <c r="D97" s="16">
        <v>0.0</v>
      </c>
      <c r="E97" s="22" t="str">
        <f t="shared" si="4"/>
        <v/>
      </c>
      <c r="F97" s="23" t="str">
        <f t="shared" si="2"/>
        <v/>
      </c>
      <c r="G97" s="24" t="str">
        <f t="shared" si="3"/>
        <v/>
      </c>
      <c r="I97" s="2"/>
    </row>
    <row r="98" ht="15.0" customHeight="1">
      <c r="A98" s="21">
        <v>46327.0</v>
      </c>
      <c r="B98" s="14" t="s">
        <v>20</v>
      </c>
      <c r="C98" s="16"/>
      <c r="D98" s="16">
        <v>0.0</v>
      </c>
      <c r="E98" s="22" t="str">
        <f t="shared" si="4"/>
        <v/>
      </c>
      <c r="F98" s="23" t="str">
        <f t="shared" si="2"/>
        <v/>
      </c>
      <c r="G98" s="24" t="str">
        <f t="shared" si="3"/>
        <v/>
      </c>
      <c r="I98" s="2"/>
    </row>
    <row r="99" ht="15.0" customHeight="1">
      <c r="A99" s="21">
        <v>46327.0</v>
      </c>
      <c r="B99" s="19" t="s">
        <v>21</v>
      </c>
      <c r="C99" s="16"/>
      <c r="D99" s="16">
        <v>0.0</v>
      </c>
      <c r="E99" s="22" t="str">
        <f t="shared" si="4"/>
        <v/>
      </c>
      <c r="F99" s="23" t="str">
        <f t="shared" si="2"/>
        <v/>
      </c>
      <c r="G99" s="24" t="str">
        <f t="shared" si="3"/>
        <v/>
      </c>
      <c r="I99" s="2"/>
    </row>
    <row r="100" ht="15.0" customHeight="1">
      <c r="A100" s="21">
        <v>46327.0</v>
      </c>
      <c r="B100" s="14" t="s">
        <v>22</v>
      </c>
      <c r="C100" s="16"/>
      <c r="D100" s="16">
        <v>0.0</v>
      </c>
      <c r="E100" s="22" t="str">
        <f t="shared" si="4"/>
        <v/>
      </c>
      <c r="F100" s="23" t="str">
        <f t="shared" si="2"/>
        <v/>
      </c>
      <c r="G100" s="24" t="str">
        <f t="shared" si="3"/>
        <v/>
      </c>
      <c r="I100" s="2"/>
    </row>
    <row r="101" ht="15.0" customHeight="1">
      <c r="A101" s="21">
        <v>46327.0</v>
      </c>
      <c r="B101" s="14" t="s">
        <v>23</v>
      </c>
      <c r="C101" s="16"/>
      <c r="D101" s="16">
        <v>0.0</v>
      </c>
      <c r="E101" s="22" t="str">
        <f t="shared" si="4"/>
        <v/>
      </c>
      <c r="F101" s="23" t="str">
        <f t="shared" si="2"/>
        <v/>
      </c>
      <c r="G101" s="24" t="str">
        <f t="shared" si="3"/>
        <v/>
      </c>
      <c r="I101" s="2"/>
    </row>
    <row r="102" ht="15.0" customHeight="1">
      <c r="A102" s="21">
        <v>46327.0</v>
      </c>
      <c r="B102" s="19" t="s">
        <v>24</v>
      </c>
      <c r="C102" s="16"/>
      <c r="D102" s="16">
        <v>0.0</v>
      </c>
      <c r="E102" s="22" t="str">
        <f t="shared" si="4"/>
        <v/>
      </c>
      <c r="F102" s="23" t="str">
        <f t="shared" si="2"/>
        <v/>
      </c>
      <c r="G102" s="24" t="str">
        <f t="shared" si="3"/>
        <v/>
      </c>
      <c r="I102" s="2"/>
    </row>
    <row r="103" ht="15.0" customHeight="1">
      <c r="A103" s="21">
        <v>46327.0</v>
      </c>
      <c r="B103" s="14" t="s">
        <v>32</v>
      </c>
      <c r="C103" s="16"/>
      <c r="D103" s="16">
        <v>0.0</v>
      </c>
      <c r="E103" s="22" t="str">
        <f t="shared" si="4"/>
        <v/>
      </c>
      <c r="F103" s="23" t="str">
        <f t="shared" si="2"/>
        <v/>
      </c>
      <c r="G103" s="24" t="str">
        <f t="shared" si="3"/>
        <v/>
      </c>
      <c r="I103" s="2"/>
    </row>
    <row r="104" ht="15.0" customHeight="1">
      <c r="A104" s="21">
        <v>46327.0</v>
      </c>
      <c r="B104" s="14" t="s">
        <v>33</v>
      </c>
      <c r="C104" s="16"/>
      <c r="D104" s="16">
        <v>0.0</v>
      </c>
      <c r="E104" s="22" t="str">
        <f t="shared" si="4"/>
        <v/>
      </c>
      <c r="F104" s="23" t="str">
        <f t="shared" si="2"/>
        <v/>
      </c>
      <c r="G104" s="24" t="str">
        <f t="shared" si="3"/>
        <v/>
      </c>
      <c r="I104" s="2"/>
    </row>
    <row r="105" ht="15.0" customHeight="1">
      <c r="A105" s="21">
        <v>46357.0</v>
      </c>
      <c r="B105" s="14" t="s">
        <v>19</v>
      </c>
      <c r="C105" s="16"/>
      <c r="D105" s="16">
        <v>0.0</v>
      </c>
      <c r="E105" s="22" t="str">
        <f t="shared" si="4"/>
        <v/>
      </c>
      <c r="F105" s="23" t="str">
        <f t="shared" si="2"/>
        <v/>
      </c>
      <c r="G105" s="24" t="str">
        <f t="shared" si="3"/>
        <v/>
      </c>
      <c r="I105" s="2"/>
    </row>
    <row r="106" ht="15.0" customHeight="1">
      <c r="A106" s="21">
        <v>46357.0</v>
      </c>
      <c r="B106" s="14" t="s">
        <v>20</v>
      </c>
      <c r="C106" s="16"/>
      <c r="D106" s="16">
        <v>0.0</v>
      </c>
      <c r="E106" s="22" t="str">
        <f t="shared" si="4"/>
        <v/>
      </c>
      <c r="F106" s="23" t="str">
        <f t="shared" si="2"/>
        <v/>
      </c>
      <c r="G106" s="24" t="str">
        <f t="shared" si="3"/>
        <v/>
      </c>
      <c r="I106" s="2"/>
    </row>
    <row r="107" ht="15.0" customHeight="1">
      <c r="A107" s="21">
        <v>46357.0</v>
      </c>
      <c r="B107" s="19" t="s">
        <v>21</v>
      </c>
      <c r="C107" s="16"/>
      <c r="D107" s="16">
        <v>0.0</v>
      </c>
      <c r="E107" s="22" t="str">
        <f t="shared" si="4"/>
        <v/>
      </c>
      <c r="F107" s="23" t="str">
        <f t="shared" si="2"/>
        <v/>
      </c>
      <c r="G107" s="24" t="str">
        <f t="shared" si="3"/>
        <v/>
      </c>
      <c r="I107" s="2"/>
    </row>
    <row r="108" ht="15.0" customHeight="1">
      <c r="A108" s="21">
        <v>46357.0</v>
      </c>
      <c r="B108" s="14" t="s">
        <v>22</v>
      </c>
      <c r="C108" s="16"/>
      <c r="D108" s="16">
        <v>0.0</v>
      </c>
      <c r="E108" s="22" t="str">
        <f t="shared" si="4"/>
        <v/>
      </c>
      <c r="F108" s="23" t="str">
        <f t="shared" si="2"/>
        <v/>
      </c>
      <c r="G108" s="24" t="str">
        <f t="shared" si="3"/>
        <v/>
      </c>
      <c r="I108" s="2"/>
    </row>
    <row r="109" ht="15.0" customHeight="1">
      <c r="A109" s="21">
        <v>46357.0</v>
      </c>
      <c r="B109" s="14" t="s">
        <v>23</v>
      </c>
      <c r="C109" s="16"/>
      <c r="D109" s="16">
        <v>0.0</v>
      </c>
      <c r="E109" s="22" t="str">
        <f t="shared" si="4"/>
        <v/>
      </c>
      <c r="F109" s="23" t="str">
        <f t="shared" si="2"/>
        <v/>
      </c>
      <c r="G109" s="24" t="str">
        <f t="shared" si="3"/>
        <v/>
      </c>
      <c r="I109" s="2"/>
    </row>
    <row r="110" ht="15.0" customHeight="1">
      <c r="A110" s="21">
        <v>46357.0</v>
      </c>
      <c r="B110" s="19" t="s">
        <v>24</v>
      </c>
      <c r="C110" s="16"/>
      <c r="D110" s="16">
        <v>0.0</v>
      </c>
      <c r="E110" s="22" t="str">
        <f t="shared" si="4"/>
        <v/>
      </c>
      <c r="F110" s="23" t="str">
        <f t="shared" si="2"/>
        <v/>
      </c>
      <c r="G110" s="24" t="str">
        <f t="shared" si="3"/>
        <v/>
      </c>
      <c r="I110" s="2"/>
    </row>
    <row r="111" ht="15.0" customHeight="1">
      <c r="A111" s="21">
        <v>46357.0</v>
      </c>
      <c r="B111" s="14" t="s">
        <v>32</v>
      </c>
      <c r="C111" s="16"/>
      <c r="D111" s="16">
        <v>0.0</v>
      </c>
      <c r="E111" s="22" t="str">
        <f t="shared" si="4"/>
        <v/>
      </c>
      <c r="F111" s="23" t="str">
        <f t="shared" si="2"/>
        <v/>
      </c>
      <c r="G111" s="24" t="str">
        <f t="shared" si="3"/>
        <v/>
      </c>
      <c r="I111" s="2"/>
    </row>
    <row r="112" ht="15.0" customHeight="1">
      <c r="A112" s="21">
        <v>46357.0</v>
      </c>
      <c r="B112" s="14" t="s">
        <v>33</v>
      </c>
      <c r="C112" s="16"/>
      <c r="D112" s="16">
        <v>0.0</v>
      </c>
      <c r="E112" s="22" t="str">
        <f t="shared" si="4"/>
        <v/>
      </c>
      <c r="F112" s="23" t="str">
        <f t="shared" si="2"/>
        <v/>
      </c>
      <c r="G112" s="24" t="str">
        <f t="shared" si="3"/>
        <v/>
      </c>
      <c r="I112" s="2"/>
    </row>
    <row r="113" ht="15.75" customHeight="1">
      <c r="A113" s="2"/>
      <c r="B113" s="2"/>
      <c r="C113" s="2"/>
      <c r="D113" s="2"/>
      <c r="E113" s="2"/>
      <c r="F113" s="2"/>
      <c r="G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I1000" s="2"/>
    </row>
  </sheetData>
  <mergeCells count="2">
    <mergeCell ref="A2:G2"/>
    <mergeCell ref="A4:B4"/>
  </mergeCells>
  <dataValidations>
    <dataValidation type="list" allowBlank="1" sqref="B17:B112">
      <formula1>Lists!$A$2:$A$9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2.0"/>
    <col customWidth="1" min="4" max="4" width="16.0"/>
    <col customWidth="1" min="5" max="26" width="8.71"/>
  </cols>
  <sheetData>
    <row r="1" ht="17.25" customHeight="1">
      <c r="A1" s="1" t="s">
        <v>2</v>
      </c>
      <c r="B1" s="2"/>
      <c r="C1" s="2"/>
      <c r="D1" s="2"/>
    </row>
    <row r="2" ht="15.0" customHeight="1">
      <c r="A2" s="3" t="s">
        <v>3</v>
      </c>
    </row>
    <row r="3">
      <c r="A3" s="2"/>
      <c r="B3" s="2"/>
      <c r="C3" s="2"/>
      <c r="D3" s="2"/>
    </row>
    <row r="4" ht="15.0" customHeight="1">
      <c r="A4" s="6" t="s">
        <v>8</v>
      </c>
      <c r="B4" s="6" t="s">
        <v>9</v>
      </c>
      <c r="C4" s="6" t="s">
        <v>11</v>
      </c>
      <c r="D4" s="6" t="s">
        <v>12</v>
      </c>
    </row>
    <row r="5" ht="15.0" customHeight="1">
      <c r="A5" s="9">
        <v>46027.0</v>
      </c>
      <c r="B5" s="11" t="s">
        <v>14</v>
      </c>
      <c r="C5" s="13">
        <v>85.32</v>
      </c>
      <c r="D5" s="11" t="s">
        <v>27</v>
      </c>
    </row>
    <row r="6" ht="15.0" customHeight="1">
      <c r="A6" s="15"/>
      <c r="B6" s="17"/>
      <c r="C6" s="18"/>
      <c r="D6" s="17"/>
    </row>
    <row r="7" ht="15.0" customHeight="1">
      <c r="A7" s="15"/>
      <c r="B7" s="17"/>
      <c r="C7" s="18"/>
      <c r="D7" s="17"/>
    </row>
    <row r="8" ht="15.0" customHeight="1">
      <c r="A8" s="15"/>
      <c r="B8" s="17"/>
      <c r="C8" s="18"/>
      <c r="D8" s="17"/>
    </row>
    <row r="9" ht="15.0" customHeight="1">
      <c r="A9" s="15"/>
      <c r="B9" s="17"/>
      <c r="C9" s="18"/>
      <c r="D9" s="17"/>
    </row>
    <row r="10" ht="15.0" customHeight="1">
      <c r="A10" s="15"/>
      <c r="B10" s="17"/>
      <c r="C10" s="18"/>
      <c r="D10" s="17"/>
    </row>
    <row r="11" ht="15.0" customHeight="1">
      <c r="A11" s="15"/>
      <c r="B11" s="17"/>
      <c r="C11" s="18"/>
      <c r="D11" s="17"/>
    </row>
    <row r="12" ht="15.0" customHeight="1">
      <c r="A12" s="15"/>
      <c r="B12" s="17"/>
      <c r="C12" s="18"/>
      <c r="D12" s="17"/>
    </row>
    <row r="13" ht="15.0" customHeight="1">
      <c r="A13" s="15"/>
      <c r="B13" s="17"/>
      <c r="C13" s="18"/>
      <c r="D13" s="17"/>
    </row>
    <row r="14" ht="15.0" customHeight="1">
      <c r="A14" s="15"/>
      <c r="B14" s="17"/>
      <c r="C14" s="18"/>
      <c r="D14" s="17"/>
    </row>
    <row r="15" ht="15.0" customHeight="1">
      <c r="A15" s="15"/>
      <c r="B15" s="17"/>
      <c r="C15" s="18"/>
      <c r="D15" s="17"/>
    </row>
    <row r="16" ht="15.0" customHeight="1">
      <c r="A16" s="15"/>
      <c r="B16" s="17"/>
      <c r="C16" s="18"/>
      <c r="D16" s="17"/>
    </row>
    <row r="17" ht="15.0" customHeight="1">
      <c r="A17" s="15"/>
      <c r="B17" s="17"/>
      <c r="C17" s="18"/>
      <c r="D17" s="17"/>
    </row>
    <row r="18" ht="15.0" customHeight="1">
      <c r="A18" s="15"/>
      <c r="B18" s="17"/>
      <c r="C18" s="18"/>
      <c r="D18" s="17"/>
    </row>
    <row r="19" ht="15.0" customHeight="1">
      <c r="A19" s="15"/>
      <c r="B19" s="17"/>
      <c r="C19" s="18"/>
      <c r="D19" s="17"/>
    </row>
    <row r="20" ht="15.0" customHeight="1">
      <c r="A20" s="15"/>
      <c r="B20" s="17"/>
      <c r="C20" s="18"/>
      <c r="D20" s="17"/>
    </row>
    <row r="21" ht="15.0" customHeight="1">
      <c r="A21" s="15"/>
      <c r="B21" s="17"/>
      <c r="C21" s="18"/>
      <c r="D21" s="17"/>
    </row>
    <row r="22" ht="15.0" customHeight="1">
      <c r="A22" s="15"/>
      <c r="B22" s="17"/>
      <c r="C22" s="18"/>
      <c r="D22" s="17"/>
    </row>
    <row r="23" ht="15.0" customHeight="1">
      <c r="A23" s="15"/>
      <c r="B23" s="17"/>
      <c r="C23" s="18"/>
      <c r="D23" s="17"/>
    </row>
    <row r="24" ht="15.0" customHeight="1">
      <c r="A24" s="15"/>
      <c r="B24" s="17"/>
      <c r="C24" s="18"/>
      <c r="D24" s="17"/>
    </row>
    <row r="25" ht="15.0" customHeight="1">
      <c r="A25" s="15"/>
      <c r="B25" s="17"/>
      <c r="C25" s="18"/>
      <c r="D25" s="17"/>
    </row>
    <row r="26" ht="15.0" customHeight="1">
      <c r="A26" s="15"/>
      <c r="B26" s="17"/>
      <c r="C26" s="18"/>
      <c r="D26" s="17"/>
    </row>
    <row r="27" ht="15.0" customHeight="1">
      <c r="A27" s="15"/>
      <c r="B27" s="17"/>
      <c r="C27" s="18"/>
      <c r="D27" s="17"/>
    </row>
    <row r="28" ht="15.0" customHeight="1">
      <c r="A28" s="15"/>
      <c r="B28" s="17"/>
      <c r="C28" s="18"/>
      <c r="D28" s="17"/>
    </row>
    <row r="29" ht="15.0" customHeight="1">
      <c r="A29" s="15"/>
      <c r="B29" s="17"/>
      <c r="C29" s="18"/>
      <c r="D29" s="17"/>
    </row>
    <row r="30" ht="15.0" customHeight="1">
      <c r="A30" s="15"/>
      <c r="B30" s="17"/>
      <c r="C30" s="18"/>
      <c r="D30" s="17"/>
    </row>
    <row r="31" ht="15.0" customHeight="1">
      <c r="A31" s="15"/>
      <c r="B31" s="17"/>
      <c r="C31" s="18"/>
      <c r="D31" s="17"/>
    </row>
    <row r="32" ht="15.0" customHeight="1">
      <c r="A32" s="15"/>
      <c r="B32" s="17"/>
      <c r="C32" s="18"/>
      <c r="D32" s="17"/>
    </row>
    <row r="33" ht="15.0" customHeight="1">
      <c r="A33" s="15"/>
      <c r="B33" s="17"/>
      <c r="C33" s="18"/>
      <c r="D33" s="17"/>
    </row>
    <row r="34" ht="15.0" customHeight="1">
      <c r="A34" s="15"/>
      <c r="B34" s="17"/>
      <c r="C34" s="18"/>
      <c r="D34" s="17"/>
    </row>
    <row r="35" ht="15.0" customHeight="1">
      <c r="A35" s="15"/>
      <c r="B35" s="17"/>
      <c r="C35" s="18"/>
      <c r="D35" s="17"/>
    </row>
    <row r="36" ht="15.0" customHeight="1">
      <c r="A36" s="15"/>
      <c r="B36" s="17"/>
      <c r="C36" s="18"/>
      <c r="D36" s="17"/>
    </row>
    <row r="37" ht="15.0" customHeight="1">
      <c r="A37" s="15"/>
      <c r="B37" s="17"/>
      <c r="C37" s="18"/>
      <c r="D37" s="17"/>
    </row>
    <row r="38" ht="15.0" customHeight="1">
      <c r="A38" s="15"/>
      <c r="B38" s="17"/>
      <c r="C38" s="18"/>
      <c r="D38" s="17"/>
    </row>
    <row r="39" ht="15.0" customHeight="1">
      <c r="A39" s="15"/>
      <c r="B39" s="17"/>
      <c r="C39" s="18"/>
      <c r="D39" s="17"/>
    </row>
    <row r="40" ht="15.0" customHeight="1">
      <c r="A40" s="15"/>
      <c r="B40" s="17"/>
      <c r="C40" s="18"/>
      <c r="D40" s="17"/>
    </row>
    <row r="41" ht="15.0" customHeight="1">
      <c r="A41" s="15"/>
      <c r="B41" s="17"/>
      <c r="C41" s="18"/>
      <c r="D41" s="17"/>
    </row>
    <row r="42" ht="15.0" customHeight="1">
      <c r="A42" s="15"/>
      <c r="B42" s="17"/>
      <c r="C42" s="18"/>
      <c r="D42" s="17"/>
    </row>
    <row r="43" ht="15.0" customHeight="1">
      <c r="A43" s="15"/>
      <c r="B43" s="17"/>
      <c r="C43" s="18"/>
      <c r="D43" s="17"/>
    </row>
    <row r="44" ht="15.0" customHeight="1">
      <c r="A44" s="15"/>
      <c r="B44" s="17"/>
      <c r="C44" s="18"/>
      <c r="D44" s="17"/>
    </row>
    <row r="45" ht="15.0" customHeight="1">
      <c r="A45" s="15"/>
      <c r="B45" s="17"/>
      <c r="C45" s="18"/>
      <c r="D45" s="17"/>
    </row>
    <row r="46" ht="15.0" customHeight="1">
      <c r="A46" s="15"/>
      <c r="B46" s="17"/>
      <c r="C46" s="18"/>
      <c r="D46" s="17"/>
    </row>
    <row r="47" ht="15.0" customHeight="1">
      <c r="A47" s="15"/>
      <c r="B47" s="17"/>
      <c r="C47" s="18"/>
      <c r="D47" s="17"/>
    </row>
    <row r="48" ht="15.0" customHeight="1">
      <c r="A48" s="15"/>
      <c r="B48" s="17"/>
      <c r="C48" s="18"/>
      <c r="D48" s="17"/>
    </row>
    <row r="49" ht="15.0" customHeight="1">
      <c r="A49" s="15"/>
      <c r="B49" s="17"/>
      <c r="C49" s="18"/>
      <c r="D49" s="17"/>
    </row>
    <row r="50" ht="15.0" customHeight="1">
      <c r="A50" s="15"/>
      <c r="B50" s="17"/>
      <c r="C50" s="18"/>
      <c r="D50" s="17"/>
    </row>
    <row r="51" ht="15.0" customHeight="1">
      <c r="A51" s="15"/>
      <c r="B51" s="17"/>
      <c r="C51" s="18"/>
      <c r="D51" s="17"/>
    </row>
    <row r="52" ht="15.0" customHeight="1">
      <c r="A52" s="15"/>
      <c r="B52" s="17"/>
      <c r="C52" s="18"/>
      <c r="D52" s="17"/>
    </row>
    <row r="53" ht="15.0" customHeight="1">
      <c r="A53" s="15"/>
      <c r="B53" s="17"/>
      <c r="C53" s="18"/>
      <c r="D53" s="17"/>
    </row>
    <row r="54" ht="15.0" customHeight="1">
      <c r="A54" s="15"/>
      <c r="B54" s="17"/>
      <c r="C54" s="18"/>
      <c r="D54" s="17"/>
    </row>
    <row r="55" ht="15.0" customHeight="1">
      <c r="A55" s="15"/>
      <c r="B55" s="17"/>
      <c r="C55" s="18"/>
      <c r="D55" s="17"/>
    </row>
    <row r="56" ht="15.0" customHeight="1">
      <c r="A56" s="15"/>
      <c r="B56" s="17"/>
      <c r="C56" s="18"/>
      <c r="D56" s="17"/>
    </row>
    <row r="57" ht="15.0" customHeight="1">
      <c r="A57" s="15"/>
      <c r="B57" s="17"/>
      <c r="C57" s="18"/>
      <c r="D57" s="17"/>
    </row>
    <row r="58" ht="15.0" customHeight="1">
      <c r="A58" s="15"/>
      <c r="B58" s="17"/>
      <c r="C58" s="18"/>
      <c r="D58" s="17"/>
    </row>
    <row r="59" ht="15.0" customHeight="1">
      <c r="A59" s="15"/>
      <c r="B59" s="17"/>
      <c r="C59" s="18"/>
      <c r="D59" s="17"/>
    </row>
    <row r="60" ht="15.0" customHeight="1">
      <c r="A60" s="15"/>
      <c r="B60" s="17"/>
      <c r="C60" s="18"/>
      <c r="D60" s="17"/>
    </row>
    <row r="61" ht="15.0" customHeight="1">
      <c r="A61" s="15"/>
      <c r="B61" s="17"/>
      <c r="C61" s="18"/>
      <c r="D61" s="17"/>
    </row>
    <row r="62" ht="15.0" customHeight="1">
      <c r="A62" s="15"/>
      <c r="B62" s="17"/>
      <c r="C62" s="18"/>
      <c r="D62" s="17"/>
    </row>
    <row r="63" ht="15.0" customHeight="1">
      <c r="A63" s="15"/>
      <c r="B63" s="17"/>
      <c r="C63" s="18"/>
      <c r="D63" s="17"/>
    </row>
    <row r="64" ht="15.0" customHeight="1">
      <c r="A64" s="15"/>
      <c r="B64" s="17"/>
      <c r="C64" s="18"/>
      <c r="D64" s="17"/>
    </row>
    <row r="65" ht="15.0" customHeight="1">
      <c r="A65" s="15"/>
      <c r="B65" s="17"/>
      <c r="C65" s="18"/>
      <c r="D65" s="17"/>
    </row>
    <row r="66" ht="15.0" customHeight="1">
      <c r="A66" s="15"/>
      <c r="B66" s="17"/>
      <c r="C66" s="18"/>
      <c r="D66" s="17"/>
    </row>
    <row r="67" ht="15.0" customHeight="1">
      <c r="A67" s="15"/>
      <c r="B67" s="17"/>
      <c r="C67" s="18"/>
      <c r="D67" s="17"/>
    </row>
    <row r="68" ht="15.0" customHeight="1">
      <c r="A68" s="15"/>
      <c r="B68" s="17"/>
      <c r="C68" s="18"/>
      <c r="D68" s="17"/>
    </row>
    <row r="69" ht="15.0" customHeight="1">
      <c r="A69" s="15"/>
      <c r="B69" s="17"/>
      <c r="C69" s="18"/>
      <c r="D69" s="17"/>
    </row>
    <row r="70" ht="15.0" customHeight="1">
      <c r="A70" s="15"/>
      <c r="B70" s="17"/>
      <c r="C70" s="18"/>
      <c r="D70" s="17"/>
    </row>
    <row r="71" ht="15.0" customHeight="1">
      <c r="A71" s="15"/>
      <c r="B71" s="17"/>
      <c r="C71" s="18"/>
      <c r="D71" s="17"/>
    </row>
    <row r="72" ht="15.0" customHeight="1">
      <c r="A72" s="15"/>
      <c r="B72" s="17"/>
      <c r="C72" s="18"/>
      <c r="D72" s="17"/>
    </row>
    <row r="73" ht="15.0" customHeight="1">
      <c r="A73" s="15"/>
      <c r="B73" s="17"/>
      <c r="C73" s="18"/>
      <c r="D73" s="17"/>
    </row>
    <row r="74" ht="15.0" customHeight="1">
      <c r="A74" s="15"/>
      <c r="B74" s="17"/>
      <c r="C74" s="18"/>
      <c r="D74" s="17"/>
    </row>
    <row r="75" ht="15.0" customHeight="1">
      <c r="A75" s="15"/>
      <c r="B75" s="17"/>
      <c r="C75" s="18"/>
      <c r="D75" s="17"/>
    </row>
    <row r="76" ht="15.0" customHeight="1">
      <c r="A76" s="15"/>
      <c r="B76" s="17"/>
      <c r="C76" s="18"/>
      <c r="D76" s="17"/>
    </row>
    <row r="77" ht="15.0" customHeight="1">
      <c r="A77" s="15"/>
      <c r="B77" s="17"/>
      <c r="C77" s="18"/>
      <c r="D77" s="17"/>
    </row>
    <row r="78" ht="15.0" customHeight="1">
      <c r="A78" s="15"/>
      <c r="B78" s="17"/>
      <c r="C78" s="18"/>
      <c r="D78" s="17"/>
    </row>
    <row r="79" ht="15.0" customHeight="1">
      <c r="A79" s="15"/>
      <c r="B79" s="17"/>
      <c r="C79" s="18"/>
      <c r="D79" s="17"/>
    </row>
    <row r="80" ht="15.0" customHeight="1">
      <c r="A80" s="15"/>
      <c r="B80" s="17"/>
      <c r="C80" s="18"/>
      <c r="D80" s="17"/>
    </row>
    <row r="81" ht="15.0" customHeight="1">
      <c r="A81" s="15"/>
      <c r="B81" s="17"/>
      <c r="C81" s="18"/>
      <c r="D81" s="17"/>
    </row>
    <row r="82" ht="15.0" customHeight="1">
      <c r="A82" s="15"/>
      <c r="B82" s="17"/>
      <c r="C82" s="18"/>
      <c r="D82" s="17"/>
    </row>
    <row r="83" ht="15.0" customHeight="1">
      <c r="A83" s="15"/>
      <c r="B83" s="17"/>
      <c r="C83" s="18"/>
      <c r="D83" s="17"/>
    </row>
    <row r="84" ht="15.0" customHeight="1">
      <c r="A84" s="15"/>
      <c r="B84" s="17"/>
      <c r="C84" s="18"/>
      <c r="D84" s="17"/>
    </row>
    <row r="85" ht="15.0" customHeight="1">
      <c r="A85" s="15"/>
      <c r="B85" s="17"/>
      <c r="C85" s="18"/>
      <c r="D85" s="17"/>
    </row>
    <row r="86" ht="15.0" customHeight="1">
      <c r="A86" s="15"/>
      <c r="B86" s="17"/>
      <c r="C86" s="18"/>
      <c r="D86" s="17"/>
    </row>
    <row r="87" ht="15.0" customHeight="1">
      <c r="A87" s="15"/>
      <c r="B87" s="17"/>
      <c r="C87" s="18"/>
      <c r="D87" s="17"/>
    </row>
    <row r="88" ht="15.0" customHeight="1">
      <c r="A88" s="15"/>
      <c r="B88" s="17"/>
      <c r="C88" s="18"/>
      <c r="D88" s="17"/>
    </row>
    <row r="89" ht="15.0" customHeight="1">
      <c r="A89" s="15"/>
      <c r="B89" s="17"/>
      <c r="C89" s="18"/>
      <c r="D89" s="17"/>
    </row>
    <row r="90" ht="15.0" customHeight="1">
      <c r="A90" s="15"/>
      <c r="B90" s="17"/>
      <c r="C90" s="18"/>
      <c r="D90" s="17"/>
    </row>
    <row r="91" ht="15.0" customHeight="1">
      <c r="A91" s="15"/>
      <c r="B91" s="17"/>
      <c r="C91" s="18"/>
      <c r="D91" s="17"/>
    </row>
    <row r="92" ht="15.0" customHeight="1">
      <c r="A92" s="15"/>
      <c r="B92" s="17"/>
      <c r="C92" s="18"/>
      <c r="D92" s="17"/>
    </row>
    <row r="93" ht="15.0" customHeight="1">
      <c r="A93" s="15"/>
      <c r="B93" s="17"/>
      <c r="C93" s="18"/>
      <c r="D93" s="17"/>
    </row>
    <row r="94" ht="15.0" customHeight="1">
      <c r="A94" s="15"/>
      <c r="B94" s="17"/>
      <c r="C94" s="18"/>
      <c r="D94" s="17"/>
    </row>
    <row r="95" ht="15.0" customHeight="1">
      <c r="A95" s="15"/>
      <c r="B95" s="17"/>
      <c r="C95" s="18"/>
      <c r="D95" s="17"/>
    </row>
    <row r="96" ht="15.0" customHeight="1">
      <c r="A96" s="15"/>
      <c r="B96" s="17"/>
      <c r="C96" s="18"/>
      <c r="D96" s="17"/>
    </row>
    <row r="97" ht="15.0" customHeight="1">
      <c r="A97" s="15"/>
      <c r="B97" s="17"/>
      <c r="C97" s="18"/>
      <c r="D97" s="17"/>
    </row>
    <row r="98" ht="15.0" customHeight="1">
      <c r="A98" s="15"/>
      <c r="B98" s="17"/>
      <c r="C98" s="18"/>
      <c r="D98" s="17"/>
    </row>
    <row r="99" ht="15.0" customHeight="1">
      <c r="A99" s="15"/>
      <c r="B99" s="17"/>
      <c r="C99" s="18"/>
      <c r="D99" s="17"/>
    </row>
    <row r="100" ht="15.0" customHeight="1">
      <c r="A100" s="15"/>
      <c r="B100" s="17"/>
      <c r="C100" s="18"/>
      <c r="D100" s="17"/>
    </row>
    <row r="101" ht="15.0" customHeight="1">
      <c r="A101" s="15"/>
      <c r="B101" s="17"/>
      <c r="C101" s="18"/>
      <c r="D101" s="17"/>
    </row>
    <row r="102" ht="15.0" customHeight="1">
      <c r="A102" s="15"/>
      <c r="B102" s="17"/>
      <c r="C102" s="18"/>
      <c r="D102" s="17"/>
    </row>
    <row r="103" ht="15.0" customHeight="1">
      <c r="A103" s="15"/>
      <c r="B103" s="17"/>
      <c r="C103" s="18"/>
      <c r="D103" s="17"/>
    </row>
    <row r="104" ht="15.0" customHeight="1">
      <c r="A104" s="15"/>
      <c r="B104" s="17"/>
      <c r="C104" s="18"/>
      <c r="D104" s="17"/>
    </row>
    <row r="105" ht="15.0" customHeight="1">
      <c r="A105" s="15"/>
      <c r="B105" s="17"/>
      <c r="C105" s="18"/>
      <c r="D105" s="17"/>
    </row>
    <row r="106" ht="15.0" customHeight="1">
      <c r="A106" s="15"/>
      <c r="B106" s="17"/>
      <c r="C106" s="18"/>
      <c r="D106" s="17"/>
    </row>
    <row r="107" ht="15.0" customHeight="1">
      <c r="A107" s="15"/>
      <c r="B107" s="17"/>
      <c r="C107" s="18"/>
      <c r="D107" s="17"/>
    </row>
    <row r="108" ht="15.0" customHeight="1">
      <c r="A108" s="15"/>
      <c r="B108" s="17"/>
      <c r="C108" s="18"/>
      <c r="D108" s="17"/>
    </row>
    <row r="109" ht="15.0" customHeight="1">
      <c r="A109" s="15"/>
      <c r="B109" s="17"/>
      <c r="C109" s="18"/>
      <c r="D109" s="17"/>
    </row>
    <row r="110" ht="15.0" customHeight="1">
      <c r="A110" s="15"/>
      <c r="B110" s="17"/>
      <c r="C110" s="18"/>
      <c r="D110" s="17"/>
    </row>
    <row r="111" ht="15.0" customHeight="1">
      <c r="A111" s="15"/>
      <c r="B111" s="17"/>
      <c r="C111" s="18"/>
      <c r="D111" s="17"/>
    </row>
    <row r="112" ht="15.0" customHeight="1">
      <c r="A112" s="15"/>
      <c r="B112" s="17"/>
      <c r="C112" s="18"/>
      <c r="D112" s="17"/>
    </row>
    <row r="113" ht="15.0" customHeight="1">
      <c r="A113" s="15"/>
      <c r="B113" s="17"/>
      <c r="C113" s="18"/>
      <c r="D113" s="17"/>
    </row>
    <row r="114" ht="15.0" customHeight="1">
      <c r="A114" s="15"/>
      <c r="B114" s="17"/>
      <c r="C114" s="18"/>
      <c r="D114" s="17"/>
    </row>
    <row r="115" ht="15.0" customHeight="1">
      <c r="A115" s="15"/>
      <c r="B115" s="17"/>
      <c r="C115" s="18"/>
      <c r="D115" s="17"/>
    </row>
    <row r="116" ht="15.0" customHeight="1">
      <c r="A116" s="15"/>
      <c r="B116" s="17"/>
      <c r="C116" s="18"/>
      <c r="D116" s="17"/>
    </row>
    <row r="117" ht="15.0" customHeight="1">
      <c r="A117" s="15"/>
      <c r="B117" s="17"/>
      <c r="C117" s="18"/>
      <c r="D117" s="17"/>
    </row>
    <row r="118" ht="15.0" customHeight="1">
      <c r="A118" s="15"/>
      <c r="B118" s="17"/>
      <c r="C118" s="18"/>
      <c r="D118" s="17"/>
    </row>
    <row r="119" ht="15.0" customHeight="1">
      <c r="A119" s="15"/>
      <c r="B119" s="17"/>
      <c r="C119" s="18"/>
      <c r="D119" s="17"/>
    </row>
    <row r="120" ht="15.0" customHeight="1">
      <c r="A120" s="15"/>
      <c r="B120" s="17"/>
      <c r="C120" s="18"/>
      <c r="D120" s="17"/>
    </row>
    <row r="121" ht="15.0" customHeight="1">
      <c r="A121" s="15"/>
      <c r="B121" s="17"/>
      <c r="C121" s="18"/>
      <c r="D121" s="17"/>
    </row>
    <row r="122" ht="15.0" customHeight="1">
      <c r="A122" s="15"/>
      <c r="B122" s="17"/>
      <c r="C122" s="18"/>
      <c r="D122" s="17"/>
    </row>
    <row r="123" ht="15.0" customHeight="1">
      <c r="A123" s="15"/>
      <c r="B123" s="17"/>
      <c r="C123" s="18"/>
      <c r="D123" s="17"/>
    </row>
    <row r="124" ht="15.0" customHeight="1">
      <c r="A124" s="15"/>
      <c r="B124" s="17"/>
      <c r="C124" s="18"/>
      <c r="D124" s="17"/>
    </row>
    <row r="125" ht="15.0" customHeight="1">
      <c r="A125" s="15"/>
      <c r="B125" s="17"/>
      <c r="C125" s="18"/>
      <c r="D125" s="17"/>
    </row>
    <row r="126" ht="15.0" customHeight="1">
      <c r="A126" s="15"/>
      <c r="B126" s="17"/>
      <c r="C126" s="18"/>
      <c r="D126" s="17"/>
    </row>
    <row r="127" ht="15.0" customHeight="1">
      <c r="A127" s="15"/>
      <c r="B127" s="17"/>
      <c r="C127" s="18"/>
      <c r="D127" s="17"/>
    </row>
    <row r="128" ht="15.0" customHeight="1">
      <c r="A128" s="15"/>
      <c r="B128" s="17"/>
      <c r="C128" s="18"/>
      <c r="D128" s="17"/>
    </row>
    <row r="129" ht="15.0" customHeight="1">
      <c r="A129" s="15"/>
      <c r="B129" s="17"/>
      <c r="C129" s="18"/>
      <c r="D129" s="17"/>
    </row>
    <row r="130" ht="15.0" customHeight="1">
      <c r="A130" s="15"/>
      <c r="B130" s="17"/>
      <c r="C130" s="18"/>
      <c r="D130" s="17"/>
    </row>
    <row r="131" ht="15.0" customHeight="1">
      <c r="A131" s="15"/>
      <c r="B131" s="17"/>
      <c r="C131" s="18"/>
      <c r="D131" s="17"/>
    </row>
    <row r="132" ht="15.0" customHeight="1">
      <c r="A132" s="15"/>
      <c r="B132" s="17"/>
      <c r="C132" s="18"/>
      <c r="D132" s="17"/>
    </row>
    <row r="133" ht="15.0" customHeight="1">
      <c r="A133" s="15"/>
      <c r="B133" s="17"/>
      <c r="C133" s="18"/>
      <c r="D133" s="17"/>
    </row>
    <row r="134" ht="15.0" customHeight="1">
      <c r="A134" s="15"/>
      <c r="B134" s="17"/>
      <c r="C134" s="18"/>
      <c r="D134" s="17"/>
    </row>
    <row r="135" ht="15.0" customHeight="1">
      <c r="A135" s="15"/>
      <c r="B135" s="17"/>
      <c r="C135" s="18"/>
      <c r="D135" s="17"/>
    </row>
    <row r="136" ht="15.0" customHeight="1">
      <c r="A136" s="15"/>
      <c r="B136" s="17"/>
      <c r="C136" s="18"/>
      <c r="D136" s="17"/>
    </row>
    <row r="137" ht="15.0" customHeight="1">
      <c r="A137" s="15"/>
      <c r="B137" s="17"/>
      <c r="C137" s="18"/>
      <c r="D137" s="17"/>
    </row>
    <row r="138" ht="15.0" customHeight="1">
      <c r="A138" s="15"/>
      <c r="B138" s="17"/>
      <c r="C138" s="18"/>
      <c r="D138" s="17"/>
    </row>
    <row r="139" ht="15.0" customHeight="1">
      <c r="A139" s="15"/>
      <c r="B139" s="17"/>
      <c r="C139" s="18"/>
      <c r="D139" s="17"/>
    </row>
    <row r="140" ht="15.0" customHeight="1">
      <c r="A140" s="15"/>
      <c r="B140" s="17"/>
      <c r="C140" s="18"/>
      <c r="D140" s="17"/>
    </row>
    <row r="141" ht="15.0" customHeight="1">
      <c r="A141" s="15"/>
      <c r="B141" s="17"/>
      <c r="C141" s="18"/>
      <c r="D141" s="17"/>
    </row>
    <row r="142" ht="15.0" customHeight="1">
      <c r="A142" s="15"/>
      <c r="B142" s="17"/>
      <c r="C142" s="18"/>
      <c r="D142" s="17"/>
    </row>
    <row r="143" ht="15.0" customHeight="1">
      <c r="A143" s="15"/>
      <c r="B143" s="17"/>
      <c r="C143" s="18"/>
      <c r="D143" s="17"/>
    </row>
    <row r="144" ht="15.0" customHeight="1">
      <c r="A144" s="15"/>
      <c r="B144" s="17"/>
      <c r="C144" s="18"/>
      <c r="D144" s="17"/>
    </row>
    <row r="145" ht="15.0" customHeight="1">
      <c r="A145" s="15"/>
      <c r="B145" s="17"/>
      <c r="C145" s="18"/>
      <c r="D145" s="17"/>
    </row>
    <row r="146" ht="15.0" customHeight="1">
      <c r="A146" s="15"/>
      <c r="B146" s="17"/>
      <c r="C146" s="18"/>
      <c r="D146" s="17"/>
    </row>
    <row r="147" ht="15.0" customHeight="1">
      <c r="A147" s="15"/>
      <c r="B147" s="17"/>
      <c r="C147" s="18"/>
      <c r="D147" s="17"/>
    </row>
    <row r="148" ht="15.0" customHeight="1">
      <c r="A148" s="15"/>
      <c r="B148" s="17"/>
      <c r="C148" s="18"/>
      <c r="D148" s="17"/>
    </row>
    <row r="149" ht="15.0" customHeight="1">
      <c r="A149" s="15"/>
      <c r="B149" s="17"/>
      <c r="C149" s="18"/>
      <c r="D149" s="17"/>
    </row>
    <row r="150" ht="15.0" customHeight="1">
      <c r="A150" s="15"/>
      <c r="B150" s="17"/>
      <c r="C150" s="18"/>
      <c r="D150" s="17"/>
    </row>
    <row r="151" ht="15.0" customHeight="1">
      <c r="A151" s="15"/>
      <c r="B151" s="17"/>
      <c r="C151" s="18"/>
      <c r="D151" s="17"/>
    </row>
    <row r="152" ht="15.0" customHeight="1">
      <c r="A152" s="15"/>
      <c r="B152" s="17"/>
      <c r="C152" s="18"/>
      <c r="D152" s="17"/>
    </row>
    <row r="153" ht="15.0" customHeight="1">
      <c r="A153" s="15"/>
      <c r="B153" s="17"/>
      <c r="C153" s="18"/>
      <c r="D153" s="17"/>
    </row>
    <row r="154" ht="15.0" customHeight="1">
      <c r="A154" s="15"/>
      <c r="B154" s="17"/>
      <c r="C154" s="18"/>
      <c r="D154" s="17"/>
    </row>
    <row r="155" ht="15.0" customHeight="1">
      <c r="A155" s="15"/>
      <c r="B155" s="17"/>
      <c r="C155" s="18"/>
      <c r="D155" s="17"/>
    </row>
    <row r="156" ht="15.0" customHeight="1">
      <c r="A156" s="15"/>
      <c r="B156" s="17"/>
      <c r="C156" s="18"/>
      <c r="D156" s="17"/>
    </row>
    <row r="157" ht="15.0" customHeight="1">
      <c r="A157" s="15"/>
      <c r="B157" s="17"/>
      <c r="C157" s="18"/>
      <c r="D157" s="17"/>
    </row>
    <row r="158" ht="15.0" customHeight="1">
      <c r="A158" s="15"/>
      <c r="B158" s="17"/>
      <c r="C158" s="18"/>
      <c r="D158" s="17"/>
    </row>
    <row r="159" ht="15.0" customHeight="1">
      <c r="A159" s="15"/>
      <c r="B159" s="17"/>
      <c r="C159" s="18"/>
      <c r="D159" s="17"/>
    </row>
    <row r="160" ht="15.0" customHeight="1">
      <c r="A160" s="15"/>
      <c r="B160" s="17"/>
      <c r="C160" s="18"/>
      <c r="D160" s="17"/>
    </row>
    <row r="161" ht="15.0" customHeight="1">
      <c r="A161" s="15"/>
      <c r="B161" s="17"/>
      <c r="C161" s="18"/>
      <c r="D161" s="17"/>
    </row>
    <row r="162" ht="15.0" customHeight="1">
      <c r="A162" s="15"/>
      <c r="B162" s="17"/>
      <c r="C162" s="18"/>
      <c r="D162" s="17"/>
    </row>
    <row r="163" ht="15.0" customHeight="1">
      <c r="A163" s="15"/>
      <c r="B163" s="17"/>
      <c r="C163" s="18"/>
      <c r="D163" s="17"/>
    </row>
    <row r="164" ht="15.0" customHeight="1">
      <c r="A164" s="15"/>
      <c r="B164" s="17"/>
      <c r="C164" s="18"/>
      <c r="D164" s="17"/>
    </row>
    <row r="165" ht="15.0" customHeight="1">
      <c r="A165" s="15"/>
      <c r="B165" s="17"/>
      <c r="C165" s="18"/>
      <c r="D165" s="17"/>
    </row>
    <row r="166" ht="15.0" customHeight="1">
      <c r="A166" s="15"/>
      <c r="B166" s="17"/>
      <c r="C166" s="18"/>
      <c r="D166" s="17"/>
    </row>
    <row r="167" ht="15.0" customHeight="1">
      <c r="A167" s="15"/>
      <c r="B167" s="17"/>
      <c r="C167" s="18"/>
      <c r="D167" s="17"/>
    </row>
    <row r="168" ht="15.0" customHeight="1">
      <c r="A168" s="15"/>
      <c r="B168" s="17"/>
      <c r="C168" s="18"/>
      <c r="D168" s="17"/>
    </row>
    <row r="169" ht="15.0" customHeight="1">
      <c r="A169" s="15"/>
      <c r="B169" s="17"/>
      <c r="C169" s="18"/>
      <c r="D169" s="17"/>
    </row>
    <row r="170" ht="15.0" customHeight="1">
      <c r="A170" s="15"/>
      <c r="B170" s="17"/>
      <c r="C170" s="18"/>
      <c r="D170" s="17"/>
    </row>
    <row r="171" ht="15.0" customHeight="1">
      <c r="A171" s="15"/>
      <c r="B171" s="17"/>
      <c r="C171" s="18"/>
      <c r="D171" s="17"/>
    </row>
    <row r="172" ht="15.0" customHeight="1">
      <c r="A172" s="15"/>
      <c r="B172" s="17"/>
      <c r="C172" s="18"/>
      <c r="D172" s="17"/>
    </row>
    <row r="173" ht="15.0" customHeight="1">
      <c r="A173" s="15"/>
      <c r="B173" s="17"/>
      <c r="C173" s="18"/>
      <c r="D173" s="17"/>
    </row>
    <row r="174" ht="15.0" customHeight="1">
      <c r="A174" s="15"/>
      <c r="B174" s="17"/>
      <c r="C174" s="18"/>
      <c r="D174" s="17"/>
    </row>
    <row r="175" ht="15.0" customHeight="1">
      <c r="A175" s="15"/>
      <c r="B175" s="17"/>
      <c r="C175" s="18"/>
      <c r="D175" s="17"/>
    </row>
    <row r="176" ht="15.0" customHeight="1">
      <c r="A176" s="15"/>
      <c r="B176" s="17"/>
      <c r="C176" s="18"/>
      <c r="D176" s="17"/>
    </row>
    <row r="177" ht="15.0" customHeight="1">
      <c r="A177" s="15"/>
      <c r="B177" s="17"/>
      <c r="C177" s="18"/>
      <c r="D177" s="17"/>
    </row>
    <row r="178" ht="15.0" customHeight="1">
      <c r="A178" s="15"/>
      <c r="B178" s="17"/>
      <c r="C178" s="18"/>
      <c r="D178" s="17"/>
    </row>
    <row r="179" ht="15.0" customHeight="1">
      <c r="A179" s="15"/>
      <c r="B179" s="17"/>
      <c r="C179" s="18"/>
      <c r="D179" s="17"/>
    </row>
    <row r="180" ht="15.0" customHeight="1">
      <c r="A180" s="15"/>
      <c r="B180" s="17"/>
      <c r="C180" s="18"/>
      <c r="D180" s="17"/>
    </row>
    <row r="181" ht="15.0" customHeight="1">
      <c r="A181" s="15"/>
      <c r="B181" s="17"/>
      <c r="C181" s="18"/>
      <c r="D181" s="17"/>
    </row>
    <row r="182" ht="15.0" customHeight="1">
      <c r="A182" s="15"/>
      <c r="B182" s="17"/>
      <c r="C182" s="18"/>
      <c r="D182" s="17"/>
    </row>
    <row r="183" ht="15.0" customHeight="1">
      <c r="A183" s="15"/>
      <c r="B183" s="17"/>
      <c r="C183" s="18"/>
      <c r="D183" s="17"/>
    </row>
    <row r="184" ht="15.0" customHeight="1">
      <c r="A184" s="15"/>
      <c r="B184" s="17"/>
      <c r="C184" s="18"/>
      <c r="D184" s="17"/>
    </row>
    <row r="185" ht="15.0" customHeight="1">
      <c r="A185" s="15"/>
      <c r="B185" s="17"/>
      <c r="C185" s="18"/>
      <c r="D185" s="17"/>
    </row>
    <row r="186" ht="15.0" customHeight="1">
      <c r="A186" s="15"/>
      <c r="B186" s="17"/>
      <c r="C186" s="18"/>
      <c r="D186" s="17"/>
    </row>
    <row r="187" ht="15.0" customHeight="1">
      <c r="A187" s="15"/>
      <c r="B187" s="17"/>
      <c r="C187" s="18"/>
      <c r="D187" s="17"/>
    </row>
    <row r="188" ht="15.0" customHeight="1">
      <c r="A188" s="15"/>
      <c r="B188" s="17"/>
      <c r="C188" s="18"/>
      <c r="D188" s="17"/>
    </row>
    <row r="189" ht="15.0" customHeight="1">
      <c r="A189" s="15"/>
      <c r="B189" s="17"/>
      <c r="C189" s="18"/>
      <c r="D189" s="17"/>
    </row>
    <row r="190" ht="15.0" customHeight="1">
      <c r="A190" s="15"/>
      <c r="B190" s="17"/>
      <c r="C190" s="18"/>
      <c r="D190" s="17"/>
    </row>
    <row r="191" ht="15.0" customHeight="1">
      <c r="A191" s="15"/>
      <c r="B191" s="17"/>
      <c r="C191" s="18"/>
      <c r="D191" s="17"/>
    </row>
    <row r="192" ht="15.0" customHeight="1">
      <c r="A192" s="15"/>
      <c r="B192" s="17"/>
      <c r="C192" s="18"/>
      <c r="D192" s="17"/>
    </row>
    <row r="193" ht="15.0" customHeight="1">
      <c r="A193" s="15"/>
      <c r="B193" s="17"/>
      <c r="C193" s="18"/>
      <c r="D193" s="17"/>
    </row>
    <row r="194" ht="15.0" customHeight="1">
      <c r="A194" s="15"/>
      <c r="B194" s="17"/>
      <c r="C194" s="18"/>
      <c r="D194" s="17"/>
    </row>
    <row r="195" ht="15.0" customHeight="1">
      <c r="A195" s="15"/>
      <c r="B195" s="17"/>
      <c r="C195" s="18"/>
      <c r="D195" s="17"/>
    </row>
    <row r="196" ht="15.0" customHeight="1">
      <c r="A196" s="15"/>
      <c r="B196" s="17"/>
      <c r="C196" s="18"/>
      <c r="D196" s="17"/>
    </row>
    <row r="197" ht="15.0" customHeight="1">
      <c r="A197" s="15"/>
      <c r="B197" s="17"/>
      <c r="C197" s="18"/>
      <c r="D197" s="17"/>
    </row>
    <row r="198" ht="15.0" customHeight="1">
      <c r="A198" s="15"/>
      <c r="B198" s="17"/>
      <c r="C198" s="18"/>
      <c r="D198" s="17"/>
    </row>
    <row r="199" ht="15.0" customHeight="1">
      <c r="A199" s="15"/>
      <c r="B199" s="17"/>
      <c r="C199" s="18"/>
      <c r="D199" s="17"/>
    </row>
    <row r="200" ht="15.0" customHeight="1">
      <c r="A200" s="15"/>
      <c r="B200" s="17"/>
      <c r="C200" s="18"/>
      <c r="D200" s="17"/>
    </row>
    <row r="201" ht="15.0" customHeight="1">
      <c r="A201" s="15"/>
      <c r="B201" s="17"/>
      <c r="C201" s="18"/>
      <c r="D201" s="17"/>
    </row>
    <row r="202" ht="15.0" customHeight="1">
      <c r="A202" s="15"/>
      <c r="B202" s="17"/>
      <c r="C202" s="18"/>
      <c r="D202" s="17"/>
    </row>
    <row r="203" ht="15.0" customHeight="1">
      <c r="A203" s="15"/>
      <c r="B203" s="17"/>
      <c r="C203" s="18"/>
      <c r="D203" s="17"/>
    </row>
    <row r="204" ht="15.0" customHeight="1">
      <c r="A204" s="15"/>
      <c r="B204" s="17"/>
      <c r="C204" s="18"/>
      <c r="D204" s="17"/>
    </row>
    <row r="205" ht="15.0" customHeight="1">
      <c r="A205" s="15"/>
      <c r="B205" s="17"/>
      <c r="C205" s="18"/>
      <c r="D205" s="17"/>
    </row>
    <row r="206" ht="15.0" customHeight="1">
      <c r="A206" s="15"/>
      <c r="B206" s="17"/>
      <c r="C206" s="18"/>
      <c r="D206" s="17"/>
    </row>
    <row r="207" ht="15.0" customHeight="1">
      <c r="A207" s="15"/>
      <c r="B207" s="17"/>
      <c r="C207" s="18"/>
      <c r="D207" s="17"/>
    </row>
    <row r="208" ht="15.0" customHeight="1">
      <c r="A208" s="15"/>
      <c r="B208" s="17"/>
      <c r="C208" s="18"/>
      <c r="D208" s="17"/>
    </row>
    <row r="209" ht="15.0" customHeight="1">
      <c r="A209" s="15"/>
      <c r="B209" s="17"/>
      <c r="C209" s="18"/>
      <c r="D209" s="17"/>
    </row>
    <row r="210" ht="15.0" customHeight="1">
      <c r="A210" s="15"/>
      <c r="B210" s="17"/>
      <c r="C210" s="18"/>
      <c r="D210" s="17"/>
    </row>
    <row r="211" ht="15.0" customHeight="1">
      <c r="A211" s="15"/>
      <c r="B211" s="17"/>
      <c r="C211" s="18"/>
      <c r="D211" s="17"/>
    </row>
    <row r="212" ht="15.0" customHeight="1">
      <c r="A212" s="15"/>
      <c r="B212" s="17"/>
      <c r="C212" s="18"/>
      <c r="D212" s="17"/>
    </row>
    <row r="213" ht="15.0" customHeight="1">
      <c r="A213" s="15"/>
      <c r="B213" s="17"/>
      <c r="C213" s="18"/>
      <c r="D213" s="17"/>
    </row>
    <row r="214" ht="15.0" customHeight="1">
      <c r="A214" s="15"/>
      <c r="B214" s="17"/>
      <c r="C214" s="18"/>
      <c r="D214" s="17"/>
    </row>
    <row r="215" ht="15.0" customHeight="1">
      <c r="A215" s="15"/>
      <c r="B215" s="17"/>
      <c r="C215" s="18"/>
      <c r="D215" s="17"/>
    </row>
    <row r="216" ht="15.0" customHeight="1">
      <c r="A216" s="15"/>
      <c r="B216" s="17"/>
      <c r="C216" s="18"/>
      <c r="D216" s="17"/>
    </row>
    <row r="217" ht="15.0" customHeight="1">
      <c r="A217" s="15"/>
      <c r="B217" s="17"/>
      <c r="C217" s="18"/>
      <c r="D217" s="17"/>
    </row>
    <row r="218" ht="15.0" customHeight="1">
      <c r="A218" s="15"/>
      <c r="B218" s="17"/>
      <c r="C218" s="18"/>
      <c r="D218" s="17"/>
    </row>
    <row r="219" ht="15.0" customHeight="1">
      <c r="A219" s="15"/>
      <c r="B219" s="17"/>
      <c r="C219" s="18"/>
      <c r="D219" s="17"/>
    </row>
    <row r="220" ht="15.0" customHeight="1">
      <c r="A220" s="15"/>
      <c r="B220" s="17"/>
      <c r="C220" s="18"/>
      <c r="D220" s="17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1">
    <mergeCell ref="A2:D2"/>
  </mergeCells>
  <dataValidations>
    <dataValidation type="list" allowBlank="1" sqref="D6:D504">
      <formula1>Lists!$B$2:$B$12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2.0"/>
    <col customWidth="1" min="4" max="4" width="14.0"/>
    <col customWidth="1" min="5" max="26" width="8.71"/>
  </cols>
  <sheetData>
    <row r="1" ht="17.25" customHeight="1">
      <c r="A1" s="1" t="s">
        <v>1</v>
      </c>
      <c r="B1" s="2"/>
      <c r="C1" s="2"/>
      <c r="D1" s="2"/>
    </row>
    <row r="2" ht="15.0" customHeight="1">
      <c r="A2" s="3" t="s">
        <v>4</v>
      </c>
    </row>
    <row r="3">
      <c r="A3" s="2"/>
      <c r="B3" s="2"/>
      <c r="C3" s="2"/>
      <c r="D3" s="2"/>
    </row>
    <row r="4" ht="15.0" customHeight="1">
      <c r="A4" s="6" t="s">
        <v>8</v>
      </c>
      <c r="B4" s="6" t="s">
        <v>9</v>
      </c>
      <c r="C4" s="6" t="s">
        <v>11</v>
      </c>
      <c r="D4" s="6" t="s">
        <v>12</v>
      </c>
    </row>
    <row r="5" ht="15.0" customHeight="1">
      <c r="A5" s="9">
        <v>46037.0</v>
      </c>
      <c r="B5" s="11" t="s">
        <v>15</v>
      </c>
      <c r="C5" s="13">
        <v>3200.0</v>
      </c>
      <c r="D5" s="11" t="s">
        <v>18</v>
      </c>
    </row>
    <row r="6" ht="15.0" customHeight="1">
      <c r="A6" s="15"/>
      <c r="B6" s="17"/>
      <c r="C6" s="18"/>
      <c r="D6" s="17"/>
    </row>
    <row r="7" ht="15.0" customHeight="1">
      <c r="A7" s="15"/>
      <c r="B7" s="17"/>
      <c r="C7" s="18"/>
      <c r="D7" s="17"/>
    </row>
    <row r="8" ht="15.0" customHeight="1">
      <c r="A8" s="15"/>
      <c r="B8" s="17"/>
      <c r="C8" s="18"/>
      <c r="D8" s="17"/>
    </row>
    <row r="9" ht="15.0" customHeight="1">
      <c r="A9" s="15"/>
      <c r="B9" s="17"/>
      <c r="C9" s="18"/>
      <c r="D9" s="17"/>
    </row>
    <row r="10" ht="15.0" customHeight="1">
      <c r="A10" s="15"/>
      <c r="B10" s="17"/>
      <c r="C10" s="18"/>
      <c r="D10" s="17"/>
    </row>
    <row r="11" ht="15.0" customHeight="1">
      <c r="A11" s="15"/>
      <c r="B11" s="17"/>
      <c r="C11" s="18"/>
      <c r="D11" s="17"/>
    </row>
    <row r="12" ht="15.0" customHeight="1">
      <c r="A12" s="15"/>
      <c r="B12" s="17"/>
      <c r="C12" s="18"/>
      <c r="D12" s="17"/>
    </row>
    <row r="13" ht="15.0" customHeight="1">
      <c r="A13" s="15"/>
      <c r="B13" s="17"/>
      <c r="C13" s="18"/>
      <c r="D13" s="17"/>
    </row>
    <row r="14" ht="15.0" customHeight="1">
      <c r="A14" s="15"/>
      <c r="B14" s="17"/>
      <c r="C14" s="18"/>
      <c r="D14" s="17"/>
    </row>
    <row r="15" ht="15.0" customHeight="1">
      <c r="A15" s="15"/>
      <c r="B15" s="17"/>
      <c r="C15" s="18"/>
      <c r="D15" s="17"/>
    </row>
    <row r="16" ht="15.0" customHeight="1">
      <c r="A16" s="15"/>
      <c r="B16" s="17"/>
      <c r="C16" s="18"/>
      <c r="D16" s="17"/>
    </row>
    <row r="17" ht="15.0" customHeight="1">
      <c r="A17" s="15"/>
      <c r="B17" s="17"/>
      <c r="C17" s="18"/>
      <c r="D17" s="17"/>
    </row>
    <row r="18" ht="15.0" customHeight="1">
      <c r="A18" s="15"/>
      <c r="B18" s="17"/>
      <c r="C18" s="18"/>
      <c r="D18" s="17"/>
    </row>
    <row r="19" ht="15.0" customHeight="1">
      <c r="A19" s="15"/>
      <c r="B19" s="17"/>
      <c r="C19" s="18"/>
      <c r="D19" s="17"/>
    </row>
    <row r="20" ht="15.0" customHeight="1">
      <c r="A20" s="15"/>
      <c r="B20" s="17"/>
      <c r="C20" s="18"/>
      <c r="D20" s="17"/>
    </row>
    <row r="21" ht="15.0" customHeight="1">
      <c r="A21" s="15"/>
      <c r="B21" s="17"/>
      <c r="C21" s="18"/>
      <c r="D21" s="17"/>
    </row>
    <row r="22" ht="15.0" customHeight="1">
      <c r="A22" s="15"/>
      <c r="B22" s="17"/>
      <c r="C22" s="18"/>
      <c r="D22" s="17"/>
    </row>
    <row r="23" ht="15.0" customHeight="1">
      <c r="A23" s="15"/>
      <c r="B23" s="17"/>
      <c r="C23" s="18"/>
      <c r="D23" s="17"/>
    </row>
    <row r="24" ht="15.0" customHeight="1">
      <c r="A24" s="15"/>
      <c r="B24" s="17"/>
      <c r="C24" s="18"/>
      <c r="D24" s="17"/>
    </row>
    <row r="25" ht="15.0" customHeight="1">
      <c r="A25" s="15"/>
      <c r="B25" s="17"/>
      <c r="C25" s="18"/>
      <c r="D25" s="17"/>
    </row>
    <row r="26" ht="15.0" customHeight="1">
      <c r="A26" s="15"/>
      <c r="B26" s="17"/>
      <c r="C26" s="18"/>
      <c r="D26" s="17"/>
    </row>
    <row r="27" ht="15.0" customHeight="1">
      <c r="A27" s="15"/>
      <c r="B27" s="17"/>
      <c r="C27" s="18"/>
      <c r="D27" s="17"/>
    </row>
    <row r="28" ht="15.0" customHeight="1">
      <c r="A28" s="15"/>
      <c r="B28" s="17"/>
      <c r="C28" s="18"/>
      <c r="D28" s="17"/>
    </row>
    <row r="29" ht="15.0" customHeight="1">
      <c r="A29" s="15"/>
      <c r="B29" s="17"/>
      <c r="C29" s="18"/>
      <c r="D29" s="17"/>
    </row>
    <row r="30" ht="15.0" customHeight="1">
      <c r="A30" s="15"/>
      <c r="B30" s="17"/>
      <c r="C30" s="18"/>
      <c r="D30" s="17"/>
    </row>
    <row r="31" ht="15.0" customHeight="1">
      <c r="A31" s="15"/>
      <c r="B31" s="17"/>
      <c r="C31" s="18"/>
      <c r="D31" s="17"/>
    </row>
    <row r="32" ht="15.0" customHeight="1">
      <c r="A32" s="15"/>
      <c r="B32" s="17"/>
      <c r="C32" s="18"/>
      <c r="D32" s="17"/>
    </row>
    <row r="33" ht="15.0" customHeight="1">
      <c r="A33" s="15"/>
      <c r="B33" s="17"/>
      <c r="C33" s="18"/>
      <c r="D33" s="17"/>
    </row>
    <row r="34" ht="15.0" customHeight="1">
      <c r="A34" s="15"/>
      <c r="B34" s="17"/>
      <c r="C34" s="18"/>
      <c r="D34" s="17"/>
    </row>
    <row r="35" ht="15.0" customHeight="1">
      <c r="A35" s="15"/>
      <c r="B35" s="17"/>
      <c r="C35" s="18"/>
      <c r="D35" s="17"/>
    </row>
    <row r="36" ht="15.0" customHeight="1">
      <c r="A36" s="15"/>
      <c r="B36" s="17"/>
      <c r="C36" s="18"/>
      <c r="D36" s="17"/>
    </row>
    <row r="37" ht="15.0" customHeight="1">
      <c r="A37" s="15"/>
      <c r="B37" s="17"/>
      <c r="C37" s="18"/>
      <c r="D37" s="17"/>
    </row>
    <row r="38" ht="15.0" customHeight="1">
      <c r="A38" s="15"/>
      <c r="B38" s="17"/>
      <c r="C38" s="18"/>
      <c r="D38" s="17"/>
    </row>
    <row r="39" ht="15.0" customHeight="1">
      <c r="A39" s="15"/>
      <c r="B39" s="17"/>
      <c r="C39" s="18"/>
      <c r="D39" s="17"/>
    </row>
    <row r="40" ht="15.0" customHeight="1">
      <c r="A40" s="15"/>
      <c r="B40" s="17"/>
      <c r="C40" s="18"/>
      <c r="D40" s="17"/>
    </row>
    <row r="41" ht="15.0" customHeight="1">
      <c r="A41" s="15"/>
      <c r="B41" s="17"/>
      <c r="C41" s="18"/>
      <c r="D41" s="17"/>
    </row>
    <row r="42" ht="15.0" customHeight="1">
      <c r="A42" s="15"/>
      <c r="B42" s="17"/>
      <c r="C42" s="18"/>
      <c r="D42" s="17"/>
    </row>
    <row r="43" ht="15.0" customHeight="1">
      <c r="A43" s="15"/>
      <c r="B43" s="17"/>
      <c r="C43" s="18"/>
      <c r="D43" s="17"/>
    </row>
    <row r="44" ht="15.0" customHeight="1">
      <c r="A44" s="15"/>
      <c r="B44" s="17"/>
      <c r="C44" s="18"/>
      <c r="D44" s="17"/>
    </row>
    <row r="45" ht="15.0" customHeight="1">
      <c r="A45" s="15"/>
      <c r="B45" s="17"/>
      <c r="C45" s="18"/>
      <c r="D45" s="17"/>
    </row>
    <row r="46" ht="15.0" customHeight="1">
      <c r="A46" s="15"/>
      <c r="B46" s="17"/>
      <c r="C46" s="18"/>
      <c r="D46" s="17"/>
    </row>
    <row r="47" ht="15.0" customHeight="1">
      <c r="A47" s="15"/>
      <c r="B47" s="17"/>
      <c r="C47" s="18"/>
      <c r="D47" s="17"/>
    </row>
    <row r="48" ht="15.0" customHeight="1">
      <c r="A48" s="15"/>
      <c r="B48" s="17"/>
      <c r="C48" s="18"/>
      <c r="D48" s="17"/>
    </row>
    <row r="49" ht="15.0" customHeight="1">
      <c r="A49" s="15"/>
      <c r="B49" s="17"/>
      <c r="C49" s="18"/>
      <c r="D49" s="17"/>
    </row>
    <row r="50" ht="15.0" customHeight="1">
      <c r="A50" s="15"/>
      <c r="B50" s="17"/>
      <c r="C50" s="18"/>
      <c r="D50" s="17"/>
    </row>
    <row r="51" ht="15.0" customHeight="1">
      <c r="A51" s="15"/>
      <c r="B51" s="17"/>
      <c r="C51" s="18"/>
      <c r="D51" s="17"/>
    </row>
    <row r="52" ht="15.0" customHeight="1">
      <c r="A52" s="15"/>
      <c r="B52" s="17"/>
      <c r="C52" s="18"/>
      <c r="D52" s="17"/>
    </row>
    <row r="53" ht="15.0" customHeight="1">
      <c r="A53" s="15"/>
      <c r="B53" s="17"/>
      <c r="C53" s="18"/>
      <c r="D53" s="17"/>
    </row>
    <row r="54" ht="15.0" customHeight="1">
      <c r="A54" s="15"/>
      <c r="B54" s="17"/>
      <c r="C54" s="18"/>
      <c r="D54" s="17"/>
    </row>
    <row r="55" ht="15.0" customHeight="1">
      <c r="A55" s="15"/>
      <c r="B55" s="17"/>
      <c r="C55" s="18"/>
      <c r="D55" s="17"/>
    </row>
    <row r="56" ht="15.0" customHeight="1">
      <c r="A56" s="15"/>
      <c r="B56" s="17"/>
      <c r="C56" s="18"/>
      <c r="D56" s="17"/>
    </row>
    <row r="57" ht="15.0" customHeight="1">
      <c r="A57" s="15"/>
      <c r="B57" s="17"/>
      <c r="C57" s="18"/>
      <c r="D57" s="17"/>
    </row>
    <row r="58" ht="15.0" customHeight="1">
      <c r="A58" s="15"/>
      <c r="B58" s="17"/>
      <c r="C58" s="18"/>
      <c r="D58" s="17"/>
    </row>
    <row r="59" ht="15.0" customHeight="1">
      <c r="A59" s="15"/>
      <c r="B59" s="17"/>
      <c r="C59" s="18"/>
      <c r="D59" s="17"/>
    </row>
    <row r="60" ht="15.0" customHeight="1">
      <c r="A60" s="15"/>
      <c r="B60" s="17"/>
      <c r="C60" s="18"/>
      <c r="D60" s="17"/>
    </row>
    <row r="61" ht="15.0" customHeight="1">
      <c r="A61" s="15"/>
      <c r="B61" s="17"/>
      <c r="C61" s="18"/>
      <c r="D61" s="17"/>
    </row>
    <row r="62" ht="15.0" customHeight="1">
      <c r="A62" s="15"/>
      <c r="B62" s="17"/>
      <c r="C62" s="18"/>
      <c r="D62" s="17"/>
    </row>
    <row r="63" ht="15.0" customHeight="1">
      <c r="A63" s="15"/>
      <c r="B63" s="17"/>
      <c r="C63" s="18"/>
      <c r="D63" s="17"/>
    </row>
    <row r="64" ht="15.0" customHeight="1">
      <c r="A64" s="15"/>
      <c r="B64" s="17"/>
      <c r="C64" s="18"/>
      <c r="D64" s="17"/>
    </row>
    <row r="65" ht="15.0" customHeight="1">
      <c r="A65" s="15"/>
      <c r="B65" s="17"/>
      <c r="C65" s="18"/>
      <c r="D65" s="17"/>
    </row>
    <row r="66" ht="15.0" customHeight="1">
      <c r="A66" s="15"/>
      <c r="B66" s="17"/>
      <c r="C66" s="18"/>
      <c r="D66" s="17"/>
    </row>
    <row r="67" ht="15.0" customHeight="1">
      <c r="A67" s="15"/>
      <c r="B67" s="17"/>
      <c r="C67" s="18"/>
      <c r="D67" s="17"/>
    </row>
    <row r="68" ht="15.0" customHeight="1">
      <c r="A68" s="15"/>
      <c r="B68" s="17"/>
      <c r="C68" s="18"/>
      <c r="D68" s="17"/>
    </row>
    <row r="69" ht="15.0" customHeight="1">
      <c r="A69" s="15"/>
      <c r="B69" s="17"/>
      <c r="C69" s="18"/>
      <c r="D69" s="17"/>
    </row>
    <row r="70" ht="15.0" customHeight="1">
      <c r="A70" s="15"/>
      <c r="B70" s="17"/>
      <c r="C70" s="18"/>
      <c r="D70" s="17"/>
    </row>
    <row r="71" ht="15.0" customHeight="1">
      <c r="A71" s="15"/>
      <c r="B71" s="17"/>
      <c r="C71" s="18"/>
      <c r="D71" s="17"/>
    </row>
    <row r="72" ht="15.0" customHeight="1">
      <c r="A72" s="15"/>
      <c r="B72" s="17"/>
      <c r="C72" s="18"/>
      <c r="D72" s="17"/>
    </row>
    <row r="73" ht="15.0" customHeight="1">
      <c r="A73" s="15"/>
      <c r="B73" s="17"/>
      <c r="C73" s="18"/>
      <c r="D73" s="17"/>
    </row>
    <row r="74" ht="15.0" customHeight="1">
      <c r="A74" s="15"/>
      <c r="B74" s="17"/>
      <c r="C74" s="18"/>
      <c r="D74" s="17"/>
    </row>
    <row r="75" ht="15.0" customHeight="1">
      <c r="A75" s="15"/>
      <c r="B75" s="17"/>
      <c r="C75" s="18"/>
      <c r="D75" s="17"/>
    </row>
    <row r="76" ht="15.0" customHeight="1">
      <c r="A76" s="15"/>
      <c r="B76" s="17"/>
      <c r="C76" s="18"/>
      <c r="D76" s="17"/>
    </row>
    <row r="77" ht="15.0" customHeight="1">
      <c r="A77" s="15"/>
      <c r="B77" s="17"/>
      <c r="C77" s="18"/>
      <c r="D77" s="17"/>
    </row>
    <row r="78" ht="15.0" customHeight="1">
      <c r="A78" s="15"/>
      <c r="B78" s="17"/>
      <c r="C78" s="18"/>
      <c r="D78" s="17"/>
    </row>
    <row r="79" ht="15.0" customHeight="1">
      <c r="A79" s="15"/>
      <c r="B79" s="17"/>
      <c r="C79" s="18"/>
      <c r="D79" s="17"/>
    </row>
    <row r="80" ht="15.0" customHeight="1">
      <c r="A80" s="15"/>
      <c r="B80" s="17"/>
      <c r="C80" s="18"/>
      <c r="D80" s="17"/>
    </row>
    <row r="81" ht="15.0" customHeight="1">
      <c r="A81" s="15"/>
      <c r="B81" s="17"/>
      <c r="C81" s="18"/>
      <c r="D81" s="17"/>
    </row>
    <row r="82" ht="15.0" customHeight="1">
      <c r="A82" s="15"/>
      <c r="B82" s="17"/>
      <c r="C82" s="18"/>
      <c r="D82" s="17"/>
    </row>
    <row r="83" ht="15.0" customHeight="1">
      <c r="A83" s="15"/>
      <c r="B83" s="17"/>
      <c r="C83" s="18"/>
      <c r="D83" s="17"/>
    </row>
    <row r="84" ht="15.0" customHeight="1">
      <c r="A84" s="15"/>
      <c r="B84" s="17"/>
      <c r="C84" s="18"/>
      <c r="D84" s="17"/>
    </row>
    <row r="85" ht="15.0" customHeight="1">
      <c r="A85" s="15"/>
      <c r="B85" s="17"/>
      <c r="C85" s="18"/>
      <c r="D85" s="17"/>
    </row>
    <row r="86" ht="15.0" customHeight="1">
      <c r="A86" s="15"/>
      <c r="B86" s="17"/>
      <c r="C86" s="18"/>
      <c r="D86" s="17"/>
    </row>
    <row r="87" ht="15.0" customHeight="1">
      <c r="A87" s="15"/>
      <c r="B87" s="17"/>
      <c r="C87" s="18"/>
      <c r="D87" s="17"/>
    </row>
    <row r="88" ht="15.0" customHeight="1">
      <c r="A88" s="15"/>
      <c r="B88" s="17"/>
      <c r="C88" s="18"/>
      <c r="D88" s="17"/>
    </row>
    <row r="89" ht="15.0" customHeight="1">
      <c r="A89" s="15"/>
      <c r="B89" s="17"/>
      <c r="C89" s="18"/>
      <c r="D89" s="17"/>
    </row>
    <row r="90" ht="15.0" customHeight="1">
      <c r="A90" s="15"/>
      <c r="B90" s="17"/>
      <c r="C90" s="18"/>
      <c r="D90" s="17"/>
    </row>
    <row r="91" ht="15.0" customHeight="1">
      <c r="A91" s="15"/>
      <c r="B91" s="17"/>
      <c r="C91" s="18"/>
      <c r="D91" s="17"/>
    </row>
    <row r="92" ht="15.0" customHeight="1">
      <c r="A92" s="15"/>
      <c r="B92" s="17"/>
      <c r="C92" s="18"/>
      <c r="D92" s="17"/>
    </row>
    <row r="93" ht="15.0" customHeight="1">
      <c r="A93" s="15"/>
      <c r="B93" s="17"/>
      <c r="C93" s="18"/>
      <c r="D93" s="17"/>
    </row>
    <row r="94" ht="15.0" customHeight="1">
      <c r="A94" s="15"/>
      <c r="B94" s="17"/>
      <c r="C94" s="18"/>
      <c r="D94" s="17"/>
    </row>
    <row r="95" ht="15.0" customHeight="1">
      <c r="A95" s="15"/>
      <c r="B95" s="17"/>
      <c r="C95" s="18"/>
      <c r="D95" s="17"/>
    </row>
    <row r="96" ht="15.0" customHeight="1">
      <c r="A96" s="15"/>
      <c r="B96" s="17"/>
      <c r="C96" s="18"/>
      <c r="D96" s="17"/>
    </row>
    <row r="97" ht="15.0" customHeight="1">
      <c r="A97" s="15"/>
      <c r="B97" s="17"/>
      <c r="C97" s="18"/>
      <c r="D97" s="17"/>
    </row>
    <row r="98" ht="15.0" customHeight="1">
      <c r="A98" s="15"/>
      <c r="B98" s="17"/>
      <c r="C98" s="18"/>
      <c r="D98" s="17"/>
    </row>
    <row r="99" ht="15.0" customHeight="1">
      <c r="A99" s="15"/>
      <c r="B99" s="17"/>
      <c r="C99" s="18"/>
      <c r="D99" s="17"/>
    </row>
    <row r="100" ht="15.0" customHeight="1">
      <c r="A100" s="15"/>
      <c r="B100" s="17"/>
      <c r="C100" s="18"/>
      <c r="D100" s="17"/>
    </row>
    <row r="101" ht="15.0" customHeight="1">
      <c r="A101" s="15"/>
      <c r="B101" s="17"/>
      <c r="C101" s="18"/>
      <c r="D101" s="17"/>
    </row>
    <row r="102" ht="15.0" customHeight="1">
      <c r="A102" s="15"/>
      <c r="B102" s="17"/>
      <c r="C102" s="18"/>
      <c r="D102" s="17"/>
    </row>
    <row r="103" ht="15.0" customHeight="1">
      <c r="A103" s="15"/>
      <c r="B103" s="17"/>
      <c r="C103" s="18"/>
      <c r="D103" s="17"/>
    </row>
    <row r="104" ht="15.0" customHeight="1">
      <c r="A104" s="15"/>
      <c r="B104" s="17"/>
      <c r="C104" s="18"/>
      <c r="D104" s="17"/>
    </row>
    <row r="105" ht="15.0" customHeight="1">
      <c r="A105" s="15"/>
      <c r="B105" s="17"/>
      <c r="C105" s="18"/>
      <c r="D105" s="17"/>
    </row>
    <row r="106" ht="15.0" customHeight="1">
      <c r="A106" s="15"/>
      <c r="B106" s="17"/>
      <c r="C106" s="18"/>
      <c r="D106" s="17"/>
    </row>
    <row r="107" ht="15.0" customHeight="1">
      <c r="A107" s="15"/>
      <c r="B107" s="17"/>
      <c r="C107" s="18"/>
      <c r="D107" s="17"/>
    </row>
    <row r="108" ht="15.0" customHeight="1">
      <c r="A108" s="15"/>
      <c r="B108" s="17"/>
      <c r="C108" s="18"/>
      <c r="D108" s="17"/>
    </row>
    <row r="109" ht="15.0" customHeight="1">
      <c r="A109" s="15"/>
      <c r="B109" s="17"/>
      <c r="C109" s="18"/>
      <c r="D109" s="17"/>
    </row>
    <row r="110" ht="15.0" customHeight="1">
      <c r="A110" s="15"/>
      <c r="B110" s="17"/>
      <c r="C110" s="18"/>
      <c r="D110" s="17"/>
    </row>
    <row r="111" ht="15.0" customHeight="1">
      <c r="A111" s="15"/>
      <c r="B111" s="17"/>
      <c r="C111" s="18"/>
      <c r="D111" s="17"/>
    </row>
    <row r="112" ht="15.0" customHeight="1">
      <c r="A112" s="15"/>
      <c r="B112" s="17"/>
      <c r="C112" s="18"/>
      <c r="D112" s="17"/>
    </row>
    <row r="113" ht="15.0" customHeight="1">
      <c r="A113" s="15"/>
      <c r="B113" s="17"/>
      <c r="C113" s="18"/>
      <c r="D113" s="17"/>
    </row>
    <row r="114" ht="15.0" customHeight="1">
      <c r="A114" s="15"/>
      <c r="B114" s="17"/>
      <c r="C114" s="18"/>
      <c r="D114" s="17"/>
    </row>
    <row r="115" ht="15.0" customHeight="1">
      <c r="A115" s="15"/>
      <c r="B115" s="17"/>
      <c r="C115" s="18"/>
      <c r="D115" s="17"/>
    </row>
    <row r="116" ht="15.0" customHeight="1">
      <c r="A116" s="15"/>
      <c r="B116" s="17"/>
      <c r="C116" s="18"/>
      <c r="D116" s="17"/>
    </row>
    <row r="117" ht="15.0" customHeight="1">
      <c r="A117" s="15"/>
      <c r="B117" s="17"/>
      <c r="C117" s="18"/>
      <c r="D117" s="17"/>
    </row>
    <row r="118" ht="15.0" customHeight="1">
      <c r="A118" s="15"/>
      <c r="B118" s="17"/>
      <c r="C118" s="18"/>
      <c r="D118" s="17"/>
    </row>
    <row r="119" ht="15.0" customHeight="1">
      <c r="A119" s="15"/>
      <c r="B119" s="17"/>
      <c r="C119" s="18"/>
      <c r="D119" s="17"/>
    </row>
    <row r="120" ht="15.0" customHeight="1">
      <c r="A120" s="15"/>
      <c r="B120" s="17"/>
      <c r="C120" s="18"/>
      <c r="D120" s="17"/>
    </row>
    <row r="121" ht="15.0" customHeight="1">
      <c r="A121" s="15"/>
      <c r="B121" s="17"/>
      <c r="C121" s="18"/>
      <c r="D121" s="17"/>
    </row>
    <row r="122" ht="15.0" customHeight="1">
      <c r="A122" s="15"/>
      <c r="B122" s="17"/>
      <c r="C122" s="18"/>
      <c r="D122" s="17"/>
    </row>
    <row r="123" ht="15.0" customHeight="1">
      <c r="A123" s="15"/>
      <c r="B123" s="17"/>
      <c r="C123" s="18"/>
      <c r="D123" s="17"/>
    </row>
    <row r="124" ht="15.0" customHeight="1">
      <c r="A124" s="15"/>
      <c r="B124" s="17"/>
      <c r="C124" s="18"/>
      <c r="D124" s="17"/>
    </row>
    <row r="125" ht="15.0" customHeight="1">
      <c r="A125" s="15"/>
      <c r="B125" s="17"/>
      <c r="C125" s="18"/>
      <c r="D125" s="17"/>
    </row>
    <row r="126" ht="15.0" customHeight="1">
      <c r="A126" s="15"/>
      <c r="B126" s="17"/>
      <c r="C126" s="18"/>
      <c r="D126" s="17"/>
    </row>
    <row r="127" ht="15.0" customHeight="1">
      <c r="A127" s="15"/>
      <c r="B127" s="17"/>
      <c r="C127" s="18"/>
      <c r="D127" s="17"/>
    </row>
    <row r="128" ht="15.0" customHeight="1">
      <c r="A128" s="15"/>
      <c r="B128" s="17"/>
      <c r="C128" s="18"/>
      <c r="D128" s="17"/>
    </row>
    <row r="129" ht="15.0" customHeight="1">
      <c r="A129" s="15"/>
      <c r="B129" s="17"/>
      <c r="C129" s="18"/>
      <c r="D129" s="17"/>
    </row>
    <row r="130" ht="15.0" customHeight="1">
      <c r="A130" s="15"/>
      <c r="B130" s="17"/>
      <c r="C130" s="18"/>
      <c r="D130" s="17"/>
    </row>
    <row r="131" ht="15.0" customHeight="1">
      <c r="A131" s="15"/>
      <c r="B131" s="17"/>
      <c r="C131" s="18"/>
      <c r="D131" s="17"/>
    </row>
    <row r="132" ht="15.0" customHeight="1">
      <c r="A132" s="15"/>
      <c r="B132" s="17"/>
      <c r="C132" s="18"/>
      <c r="D132" s="17"/>
    </row>
    <row r="133" ht="15.0" customHeight="1">
      <c r="A133" s="15"/>
      <c r="B133" s="17"/>
      <c r="C133" s="18"/>
      <c r="D133" s="17"/>
    </row>
    <row r="134" ht="15.0" customHeight="1">
      <c r="A134" s="15"/>
      <c r="B134" s="17"/>
      <c r="C134" s="18"/>
      <c r="D134" s="17"/>
    </row>
    <row r="135" ht="15.0" customHeight="1">
      <c r="A135" s="15"/>
      <c r="B135" s="17"/>
      <c r="C135" s="18"/>
      <c r="D135" s="17"/>
    </row>
    <row r="136" ht="15.0" customHeight="1">
      <c r="A136" s="15"/>
      <c r="B136" s="17"/>
      <c r="C136" s="18"/>
      <c r="D136" s="17"/>
    </row>
    <row r="137" ht="15.0" customHeight="1">
      <c r="A137" s="15"/>
      <c r="B137" s="17"/>
      <c r="C137" s="18"/>
      <c r="D137" s="17"/>
    </row>
    <row r="138" ht="15.0" customHeight="1">
      <c r="A138" s="15"/>
      <c r="B138" s="17"/>
      <c r="C138" s="18"/>
      <c r="D138" s="17"/>
    </row>
    <row r="139" ht="15.0" customHeight="1">
      <c r="A139" s="15"/>
      <c r="B139" s="17"/>
      <c r="C139" s="18"/>
      <c r="D139" s="17"/>
    </row>
    <row r="140" ht="15.0" customHeight="1">
      <c r="A140" s="15"/>
      <c r="B140" s="17"/>
      <c r="C140" s="18"/>
      <c r="D140" s="17"/>
    </row>
    <row r="141" ht="15.0" customHeight="1">
      <c r="A141" s="15"/>
      <c r="B141" s="17"/>
      <c r="C141" s="18"/>
      <c r="D141" s="17"/>
    </row>
    <row r="142" ht="15.0" customHeight="1">
      <c r="A142" s="15"/>
      <c r="B142" s="17"/>
      <c r="C142" s="18"/>
      <c r="D142" s="17"/>
    </row>
    <row r="143" ht="15.0" customHeight="1">
      <c r="A143" s="15"/>
      <c r="B143" s="17"/>
      <c r="C143" s="18"/>
      <c r="D143" s="17"/>
    </row>
    <row r="144" ht="15.0" customHeight="1">
      <c r="A144" s="15"/>
      <c r="B144" s="17"/>
      <c r="C144" s="18"/>
      <c r="D144" s="17"/>
    </row>
    <row r="145" ht="15.0" customHeight="1">
      <c r="A145" s="15"/>
      <c r="B145" s="17"/>
      <c r="C145" s="18"/>
      <c r="D145" s="17"/>
    </row>
    <row r="146" ht="15.0" customHeight="1">
      <c r="A146" s="15"/>
      <c r="B146" s="17"/>
      <c r="C146" s="18"/>
      <c r="D146" s="17"/>
    </row>
    <row r="147" ht="15.0" customHeight="1">
      <c r="A147" s="15"/>
      <c r="B147" s="17"/>
      <c r="C147" s="18"/>
      <c r="D147" s="17"/>
    </row>
    <row r="148" ht="15.0" customHeight="1">
      <c r="A148" s="15"/>
      <c r="B148" s="17"/>
      <c r="C148" s="18"/>
      <c r="D148" s="17"/>
    </row>
    <row r="149" ht="15.0" customHeight="1">
      <c r="A149" s="15"/>
      <c r="B149" s="17"/>
      <c r="C149" s="18"/>
      <c r="D149" s="17"/>
    </row>
    <row r="150" ht="15.0" customHeight="1">
      <c r="A150" s="15"/>
      <c r="B150" s="17"/>
      <c r="C150" s="18"/>
      <c r="D150" s="17"/>
    </row>
    <row r="151" ht="15.0" customHeight="1">
      <c r="A151" s="15"/>
      <c r="B151" s="17"/>
      <c r="C151" s="18"/>
      <c r="D151" s="17"/>
    </row>
    <row r="152" ht="15.0" customHeight="1">
      <c r="A152" s="15"/>
      <c r="B152" s="17"/>
      <c r="C152" s="18"/>
      <c r="D152" s="17"/>
    </row>
    <row r="153" ht="15.0" customHeight="1">
      <c r="A153" s="15"/>
      <c r="B153" s="17"/>
      <c r="C153" s="18"/>
      <c r="D153" s="17"/>
    </row>
    <row r="154" ht="15.0" customHeight="1">
      <c r="A154" s="15"/>
      <c r="B154" s="17"/>
      <c r="C154" s="18"/>
      <c r="D154" s="17"/>
    </row>
    <row r="155" ht="15.0" customHeight="1">
      <c r="A155" s="15"/>
      <c r="B155" s="17"/>
      <c r="C155" s="18"/>
      <c r="D155" s="17"/>
    </row>
    <row r="156" ht="15.0" customHeight="1">
      <c r="A156" s="15"/>
      <c r="B156" s="17"/>
      <c r="C156" s="18"/>
      <c r="D156" s="17"/>
    </row>
    <row r="157" ht="15.0" customHeight="1">
      <c r="A157" s="15"/>
      <c r="B157" s="17"/>
      <c r="C157" s="18"/>
      <c r="D157" s="17"/>
    </row>
    <row r="158" ht="15.0" customHeight="1">
      <c r="A158" s="15"/>
      <c r="B158" s="17"/>
      <c r="C158" s="18"/>
      <c r="D158" s="17"/>
    </row>
    <row r="159" ht="15.0" customHeight="1">
      <c r="A159" s="15"/>
      <c r="B159" s="17"/>
      <c r="C159" s="18"/>
      <c r="D159" s="17"/>
    </row>
    <row r="160" ht="15.0" customHeight="1">
      <c r="A160" s="15"/>
      <c r="B160" s="17"/>
      <c r="C160" s="18"/>
      <c r="D160" s="17"/>
    </row>
    <row r="161" ht="15.0" customHeight="1">
      <c r="A161" s="15"/>
      <c r="B161" s="17"/>
      <c r="C161" s="18"/>
      <c r="D161" s="17"/>
    </row>
    <row r="162" ht="15.0" customHeight="1">
      <c r="A162" s="15"/>
      <c r="B162" s="17"/>
      <c r="C162" s="18"/>
      <c r="D162" s="17"/>
    </row>
    <row r="163" ht="15.0" customHeight="1">
      <c r="A163" s="15"/>
      <c r="B163" s="17"/>
      <c r="C163" s="18"/>
      <c r="D163" s="17"/>
    </row>
    <row r="164" ht="15.0" customHeight="1">
      <c r="A164" s="15"/>
      <c r="B164" s="17"/>
      <c r="C164" s="18"/>
      <c r="D164" s="17"/>
    </row>
    <row r="165" ht="15.0" customHeight="1">
      <c r="A165" s="15"/>
      <c r="B165" s="17"/>
      <c r="C165" s="18"/>
      <c r="D165" s="17"/>
    </row>
    <row r="166" ht="15.0" customHeight="1">
      <c r="A166" s="15"/>
      <c r="B166" s="17"/>
      <c r="C166" s="18"/>
      <c r="D166" s="17"/>
    </row>
    <row r="167" ht="15.0" customHeight="1">
      <c r="A167" s="15"/>
      <c r="B167" s="17"/>
      <c r="C167" s="18"/>
      <c r="D167" s="17"/>
    </row>
    <row r="168" ht="15.0" customHeight="1">
      <c r="A168" s="15"/>
      <c r="B168" s="17"/>
      <c r="C168" s="18"/>
      <c r="D168" s="17"/>
    </row>
    <row r="169" ht="15.0" customHeight="1">
      <c r="A169" s="15"/>
      <c r="B169" s="17"/>
      <c r="C169" s="18"/>
      <c r="D169" s="17"/>
    </row>
    <row r="170" ht="15.0" customHeight="1">
      <c r="A170" s="15"/>
      <c r="B170" s="17"/>
      <c r="C170" s="18"/>
      <c r="D170" s="17"/>
    </row>
    <row r="171" ht="15.0" customHeight="1">
      <c r="A171" s="15"/>
      <c r="B171" s="17"/>
      <c r="C171" s="18"/>
      <c r="D171" s="17"/>
    </row>
    <row r="172" ht="15.0" customHeight="1">
      <c r="A172" s="15"/>
      <c r="B172" s="17"/>
      <c r="C172" s="18"/>
      <c r="D172" s="17"/>
    </row>
    <row r="173" ht="15.0" customHeight="1">
      <c r="A173" s="15"/>
      <c r="B173" s="17"/>
      <c r="C173" s="18"/>
      <c r="D173" s="17"/>
    </row>
    <row r="174" ht="15.0" customHeight="1">
      <c r="A174" s="15"/>
      <c r="B174" s="17"/>
      <c r="C174" s="18"/>
      <c r="D174" s="17"/>
    </row>
    <row r="175" ht="15.0" customHeight="1">
      <c r="A175" s="15"/>
      <c r="B175" s="17"/>
      <c r="C175" s="18"/>
      <c r="D175" s="17"/>
    </row>
    <row r="176" ht="15.0" customHeight="1">
      <c r="A176" s="15"/>
      <c r="B176" s="17"/>
      <c r="C176" s="18"/>
      <c r="D176" s="17"/>
    </row>
    <row r="177" ht="15.0" customHeight="1">
      <c r="A177" s="15"/>
      <c r="B177" s="17"/>
      <c r="C177" s="18"/>
      <c r="D177" s="17"/>
    </row>
    <row r="178" ht="15.0" customHeight="1">
      <c r="A178" s="15"/>
      <c r="B178" s="17"/>
      <c r="C178" s="18"/>
      <c r="D178" s="17"/>
    </row>
    <row r="179" ht="15.0" customHeight="1">
      <c r="A179" s="15"/>
      <c r="B179" s="17"/>
      <c r="C179" s="18"/>
      <c r="D179" s="17"/>
    </row>
    <row r="180" ht="15.0" customHeight="1">
      <c r="A180" s="15"/>
      <c r="B180" s="17"/>
      <c r="C180" s="18"/>
      <c r="D180" s="17"/>
    </row>
    <row r="181" ht="15.0" customHeight="1">
      <c r="A181" s="15"/>
      <c r="B181" s="17"/>
      <c r="C181" s="18"/>
      <c r="D181" s="17"/>
    </row>
    <row r="182" ht="15.0" customHeight="1">
      <c r="A182" s="15"/>
      <c r="B182" s="17"/>
      <c r="C182" s="18"/>
      <c r="D182" s="17"/>
    </row>
    <row r="183" ht="15.0" customHeight="1">
      <c r="A183" s="15"/>
      <c r="B183" s="17"/>
      <c r="C183" s="18"/>
      <c r="D183" s="17"/>
    </row>
    <row r="184" ht="15.0" customHeight="1">
      <c r="A184" s="15"/>
      <c r="B184" s="17"/>
      <c r="C184" s="18"/>
      <c r="D184" s="17"/>
    </row>
    <row r="185" ht="15.0" customHeight="1">
      <c r="A185" s="15"/>
      <c r="B185" s="17"/>
      <c r="C185" s="18"/>
      <c r="D185" s="17"/>
    </row>
    <row r="186" ht="15.0" customHeight="1">
      <c r="A186" s="15"/>
      <c r="B186" s="17"/>
      <c r="C186" s="18"/>
      <c r="D186" s="17"/>
    </row>
    <row r="187" ht="15.0" customHeight="1">
      <c r="A187" s="15"/>
      <c r="B187" s="17"/>
      <c r="C187" s="18"/>
      <c r="D187" s="17"/>
    </row>
    <row r="188" ht="15.0" customHeight="1">
      <c r="A188" s="15"/>
      <c r="B188" s="17"/>
      <c r="C188" s="18"/>
      <c r="D188" s="17"/>
    </row>
    <row r="189" ht="15.0" customHeight="1">
      <c r="A189" s="15"/>
      <c r="B189" s="17"/>
      <c r="C189" s="18"/>
      <c r="D189" s="17"/>
    </row>
    <row r="190" ht="15.0" customHeight="1">
      <c r="A190" s="15"/>
      <c r="B190" s="17"/>
      <c r="C190" s="18"/>
      <c r="D190" s="17"/>
    </row>
    <row r="191" ht="15.0" customHeight="1">
      <c r="A191" s="15"/>
      <c r="B191" s="17"/>
      <c r="C191" s="18"/>
      <c r="D191" s="17"/>
    </row>
    <row r="192" ht="15.0" customHeight="1">
      <c r="A192" s="15"/>
      <c r="B192" s="17"/>
      <c r="C192" s="18"/>
      <c r="D192" s="17"/>
    </row>
    <row r="193" ht="15.0" customHeight="1">
      <c r="A193" s="15"/>
      <c r="B193" s="17"/>
      <c r="C193" s="18"/>
      <c r="D193" s="17"/>
    </row>
    <row r="194" ht="15.0" customHeight="1">
      <c r="A194" s="15"/>
      <c r="B194" s="17"/>
      <c r="C194" s="18"/>
      <c r="D194" s="17"/>
    </row>
    <row r="195" ht="15.0" customHeight="1">
      <c r="A195" s="15"/>
      <c r="B195" s="17"/>
      <c r="C195" s="18"/>
      <c r="D195" s="17"/>
    </row>
    <row r="196" ht="15.0" customHeight="1">
      <c r="A196" s="15"/>
      <c r="B196" s="17"/>
      <c r="C196" s="18"/>
      <c r="D196" s="17"/>
    </row>
    <row r="197" ht="15.0" customHeight="1">
      <c r="A197" s="15"/>
      <c r="B197" s="17"/>
      <c r="C197" s="18"/>
      <c r="D197" s="17"/>
    </row>
    <row r="198" ht="15.0" customHeight="1">
      <c r="A198" s="15"/>
      <c r="B198" s="17"/>
      <c r="C198" s="18"/>
      <c r="D198" s="17"/>
    </row>
    <row r="199" ht="15.0" customHeight="1">
      <c r="A199" s="15"/>
      <c r="B199" s="17"/>
      <c r="C199" s="18"/>
      <c r="D199" s="17"/>
    </row>
    <row r="200" ht="15.0" customHeight="1">
      <c r="A200" s="15"/>
      <c r="B200" s="17"/>
      <c r="C200" s="18"/>
      <c r="D200" s="17"/>
    </row>
    <row r="201" ht="15.0" customHeight="1">
      <c r="A201" s="15"/>
      <c r="B201" s="17"/>
      <c r="C201" s="18"/>
      <c r="D201" s="17"/>
    </row>
    <row r="202" ht="15.0" customHeight="1">
      <c r="A202" s="15"/>
      <c r="B202" s="17"/>
      <c r="C202" s="18"/>
      <c r="D202" s="17"/>
    </row>
    <row r="203" ht="15.0" customHeight="1">
      <c r="A203" s="15"/>
      <c r="B203" s="17"/>
      <c r="C203" s="18"/>
      <c r="D203" s="17"/>
    </row>
    <row r="204" ht="15.0" customHeight="1">
      <c r="A204" s="15"/>
      <c r="B204" s="17"/>
      <c r="C204" s="18"/>
      <c r="D204" s="17"/>
    </row>
    <row r="205" ht="15.0" customHeight="1">
      <c r="A205" s="15"/>
      <c r="B205" s="17"/>
      <c r="C205" s="18"/>
      <c r="D205" s="17"/>
    </row>
    <row r="206" ht="15.0" customHeight="1">
      <c r="A206" s="15"/>
      <c r="B206" s="17"/>
      <c r="C206" s="18"/>
      <c r="D206" s="17"/>
    </row>
    <row r="207" ht="15.0" customHeight="1">
      <c r="A207" s="15"/>
      <c r="B207" s="17"/>
      <c r="C207" s="18"/>
      <c r="D207" s="17"/>
    </row>
    <row r="208" ht="15.0" customHeight="1">
      <c r="A208" s="15"/>
      <c r="B208" s="17"/>
      <c r="C208" s="18"/>
      <c r="D208" s="17"/>
    </row>
    <row r="209" ht="15.0" customHeight="1">
      <c r="A209" s="15"/>
      <c r="B209" s="17"/>
      <c r="C209" s="18"/>
      <c r="D209" s="17"/>
    </row>
    <row r="210" ht="15.0" customHeight="1">
      <c r="A210" s="15"/>
      <c r="B210" s="17"/>
      <c r="C210" s="18"/>
      <c r="D210" s="17"/>
    </row>
    <row r="211" ht="15.0" customHeight="1">
      <c r="A211" s="15"/>
      <c r="B211" s="17"/>
      <c r="C211" s="18"/>
      <c r="D211" s="17"/>
    </row>
    <row r="212" ht="15.0" customHeight="1">
      <c r="A212" s="15"/>
      <c r="B212" s="17"/>
      <c r="C212" s="18"/>
      <c r="D212" s="17"/>
    </row>
    <row r="213" ht="15.0" customHeight="1">
      <c r="A213" s="15"/>
      <c r="B213" s="17"/>
      <c r="C213" s="18"/>
      <c r="D213" s="17"/>
    </row>
    <row r="214" ht="15.0" customHeight="1">
      <c r="A214" s="15"/>
      <c r="B214" s="17"/>
      <c r="C214" s="18"/>
      <c r="D214" s="17"/>
    </row>
    <row r="215" ht="15.0" customHeight="1">
      <c r="A215" s="15"/>
      <c r="B215" s="17"/>
      <c r="C215" s="18"/>
      <c r="D215" s="17"/>
    </row>
    <row r="216" ht="15.0" customHeight="1">
      <c r="A216" s="15"/>
      <c r="B216" s="17"/>
      <c r="C216" s="18"/>
      <c r="D216" s="17"/>
    </row>
    <row r="217" ht="15.0" customHeight="1">
      <c r="A217" s="15"/>
      <c r="B217" s="17"/>
      <c r="C217" s="18"/>
      <c r="D217" s="17"/>
    </row>
    <row r="218" ht="15.0" customHeight="1">
      <c r="A218" s="15"/>
      <c r="B218" s="17"/>
      <c r="C218" s="18"/>
      <c r="D218" s="17"/>
    </row>
    <row r="219" ht="15.0" customHeight="1">
      <c r="A219" s="15"/>
      <c r="B219" s="17"/>
      <c r="C219" s="18"/>
      <c r="D219" s="17"/>
    </row>
    <row r="220" ht="15.0" customHeight="1">
      <c r="A220" s="15"/>
      <c r="B220" s="17"/>
      <c r="C220" s="18"/>
      <c r="D220" s="17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1">
    <mergeCell ref="A2:D2"/>
  </mergeCells>
  <dataValidations>
    <dataValidation type="list" allowBlank="1" sqref="D6:D504">
      <formula1>Lists!$C$2:$C$6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1.14"/>
    <col customWidth="1" min="3" max="3" width="15.0"/>
    <col customWidth="1" min="4" max="26" width="8.71"/>
  </cols>
  <sheetData>
    <row r="1" ht="15.0" customHeight="1">
      <c r="A1" s="4" t="s">
        <v>52</v>
      </c>
      <c r="B1" s="4" t="s">
        <v>53</v>
      </c>
      <c r="C1" s="4" t="s">
        <v>54</v>
      </c>
    </row>
    <row r="2" ht="15.0" customHeight="1">
      <c r="A2" s="30" t="s">
        <v>19</v>
      </c>
      <c r="B2" s="30" t="s">
        <v>27</v>
      </c>
      <c r="C2" s="30" t="s">
        <v>55</v>
      </c>
    </row>
    <row r="3" ht="15.0" customHeight="1">
      <c r="A3" s="30" t="s">
        <v>20</v>
      </c>
      <c r="B3" s="30" t="s">
        <v>48</v>
      </c>
      <c r="C3" s="31" t="s">
        <v>56</v>
      </c>
    </row>
    <row r="4" ht="15.0" customHeight="1">
      <c r="A4" s="31" t="s">
        <v>21</v>
      </c>
      <c r="B4" s="30" t="s">
        <v>57</v>
      </c>
      <c r="C4" s="31" t="s">
        <v>58</v>
      </c>
    </row>
    <row r="5" ht="15.0" customHeight="1">
      <c r="A5" s="30" t="s">
        <v>22</v>
      </c>
      <c r="B5" s="31" t="s">
        <v>51</v>
      </c>
      <c r="C5" s="32" t="s">
        <v>59</v>
      </c>
    </row>
    <row r="6" ht="15.0" customHeight="1">
      <c r="A6" s="30" t="s">
        <v>23</v>
      </c>
      <c r="B6" s="31" t="s">
        <v>60</v>
      </c>
      <c r="C6" s="31" t="s">
        <v>61</v>
      </c>
    </row>
    <row r="7" ht="15.0" customHeight="1">
      <c r="A7" s="31" t="s">
        <v>24</v>
      </c>
      <c r="B7" s="31" t="s">
        <v>62</v>
      </c>
      <c r="C7" s="2"/>
    </row>
    <row r="8" ht="15.0" customHeight="1">
      <c r="A8" s="30" t="s">
        <v>32</v>
      </c>
      <c r="B8" s="30" t="s">
        <v>63</v>
      </c>
      <c r="C8" s="2"/>
    </row>
    <row r="9" ht="15.0" customHeight="1">
      <c r="A9" s="30" t="s">
        <v>33</v>
      </c>
      <c r="B9" s="32" t="s">
        <v>64</v>
      </c>
      <c r="C9" s="2"/>
    </row>
    <row r="10" ht="15.0" customHeight="1">
      <c r="A10" s="2"/>
      <c r="B10" s="31" t="s">
        <v>61</v>
      </c>
      <c r="C10" s="2"/>
    </row>
    <row r="11" ht="15.0" customHeight="1">
      <c r="A11" s="2"/>
      <c r="B11" s="31"/>
      <c r="C11" s="2"/>
    </row>
    <row r="12" ht="15.0" customHeight="1">
      <c r="A12" s="2"/>
      <c r="B12" s="31"/>
      <c r="C12" s="2"/>
    </row>
    <row r="13" ht="15.0" customHeight="1">
      <c r="A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2026-08-10T17:37:33Z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